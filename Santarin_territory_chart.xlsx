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arenzasantarin\OneDrive - Year Up- BOS\Documents\DATA_Labs\Capstone_1\"/>
    </mc:Choice>
  </mc:AlternateContent>
  <xr:revisionPtr revIDLastSave="0" documentId="13_ncr:1_{5EC2AAB6-3167-4425-AA64-4B76FD81A938}" xr6:coauthVersionLast="47" xr6:coauthVersionMax="47" xr10:uidLastSave="{00000000-0000-0000-0000-000000000000}"/>
  <bookViews>
    <workbookView xWindow="28680" yWindow="-120" windowWidth="29040" windowHeight="15720" tabRatio="833" xr2:uid="{7ED9B063-432D-4F19-ACDA-3B66250E1B62}"/>
  </bookViews>
  <sheets>
    <sheet name="Dashboard" sheetId="6" r:id="rId1"/>
    <sheet name="Insights_and_Recommendation" sheetId="7" r:id="rId2"/>
    <sheet name="Executive_Summary" sheetId="8" r:id="rId3"/>
    <sheet name="Florida_Dataset" sheetId="1" r:id="rId4"/>
    <sheet name="Monthly_Revenue_Trend" sheetId="2" r:id="rId5"/>
    <sheet name="Revenue_by_Region" sheetId="3" r:id="rId6"/>
    <sheet name="Revenue_by_Category" sheetId="4" r:id="rId7"/>
    <sheet name="Store_Rank_by_Revenue" sheetId="5" r:id="rId8"/>
  </sheets>
  <calcPr calcId="191029"/>
  <pivotCaches>
    <pivotCache cacheId="0" r:id="rId9"/>
    <pivotCache cacheId="1" r:id="rId10"/>
    <pivotCache cacheId="2" r:id="rId11"/>
    <pivotCache cacheId="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6" l="1"/>
  <c r="N5" i="6" s="1"/>
  <c r="B5" i="6"/>
</calcChain>
</file>

<file path=xl/sharedStrings.xml><?xml version="1.0" encoding="utf-8"?>
<sst xmlns="http://schemas.openxmlformats.org/spreadsheetml/2006/main" count="753" uniqueCount="96">
  <si>
    <t>State</t>
  </si>
  <si>
    <t>Total_Revenue</t>
  </si>
  <si>
    <t>Start_Date</t>
  </si>
  <si>
    <t>End_Date</t>
  </si>
  <si>
    <t>Florida</t>
  </si>
  <si>
    <t>Sales_Month</t>
  </si>
  <si>
    <t>Monthly_Revenue</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</si>
  <si>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</si>
  <si>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</si>
  <si>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</si>
  <si>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</si>
  <si>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</si>
  <si>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</si>
  <si>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</si>
  <si>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</si>
  <si>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</si>
  <si>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</si>
  <si>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</si>
  <si>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</si>
  <si>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</si>
  <si>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</si>
  <si>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</si>
  <si>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</si>
  <si>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</si>
  <si>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</si>
  <si>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</si>
  <si>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</si>
  <si>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</si>
  <si>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</si>
  <si>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</si>
  <si>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</si>
  <si>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</si>
  <si>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</si>
  <si>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</si>
  <si>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</si>
  <si>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</si>
  <si>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</si>
  <si>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</si>
  <si>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</si>
  <si>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</si>
  <si>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</si>
  <si>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</si>
  <si>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</si>
  <si>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</si>
  <si>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</si>
  <si>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</si>
  <si>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</si>
  <si>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</si>
  <si>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</si>
  <si>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</si>
  <si>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</si>
  <si>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</si>
  <si>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</si>
  <si>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</si>
  <si>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</si>
  <si>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Region</t>
  </si>
  <si>
    <t>South</t>
  </si>
  <si>
    <t>Texas</t>
  </si>
  <si>
    <t>South Carolina</t>
  </si>
  <si>
    <t>Q1 Results</t>
  </si>
  <si>
    <t>Q2 Results</t>
  </si>
  <si>
    <t>Q3 Results</t>
  </si>
  <si>
    <t>Grand Total</t>
  </si>
  <si>
    <t>Monthly Revenue</t>
  </si>
  <si>
    <t>Sales Month</t>
  </si>
  <si>
    <t>Total Revenue</t>
  </si>
  <si>
    <t>Category</t>
  </si>
  <si>
    <t>Total_Transactions</t>
  </si>
  <si>
    <t>Average_Transaction_Size</t>
  </si>
  <si>
    <t>Technology &amp; Accessories</t>
  </si>
  <si>
    <t>Textbooks</t>
  </si>
  <si>
    <t>Art Supplies</t>
  </si>
  <si>
    <t>Apparel and Merchandise</t>
  </si>
  <si>
    <t>Stationery and Supplies</t>
  </si>
  <si>
    <t>Books (General)</t>
  </si>
  <si>
    <t>Q4 Results</t>
  </si>
  <si>
    <t>Store_City</t>
  </si>
  <si>
    <t>Store_ID</t>
  </si>
  <si>
    <t>Miami</t>
  </si>
  <si>
    <t>Tallahassee</t>
  </si>
  <si>
    <t>Key West</t>
  </si>
  <si>
    <t>Cape Canaveral</t>
  </si>
  <si>
    <t>Jacksonville</t>
  </si>
  <si>
    <t>Sebring</t>
  </si>
  <si>
    <t>Tampa</t>
  </si>
  <si>
    <t>Fort Lauderdale</t>
  </si>
  <si>
    <t>Orlando</t>
  </si>
  <si>
    <t>Lakeland</t>
  </si>
  <si>
    <t>Naples</t>
  </si>
  <si>
    <t>Q5 Results</t>
  </si>
  <si>
    <t>Total Transactions</t>
  </si>
  <si>
    <t>EmporiUm Florida Sales Dahsboard</t>
  </si>
  <si>
    <t>Average Revenue per Transaction</t>
  </si>
  <si>
    <t>Top Store</t>
  </si>
  <si>
    <t>Miami w/ $618,846.25 Revenue</t>
  </si>
  <si>
    <t>Store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</si>
</sst>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quot;$&quot;#,##0.00"/>
  </numFmts>
  <fonts count="8" x14ac:knownFonts="1">
    <font>
      <sz val="11"/>
      <color theme="1"/>
      <name val="Aptos Narrow"/>
      <family val="2"/>
      <scheme val="minor"/>
    </font>
    <font>
      <b/>
      <sz val="12"/>
      <color theme="9" tint="-0.249977111117893"/>
      <name val="Aptos Narrow"/>
      <family val="2"/>
      <scheme val="minor"/>
    </font>
    <font>
      <sz val="12"/>
      <color theme="1"/>
      <name val="Aptos Narrow"/>
      <family val="2"/>
      <scheme val="minor"/>
    </font>
    <font>
      <b/>
      <sz val="18"/>
      <color theme="3" tint="0.249977111117893"/>
      <name val="Aptos Display"/>
      <family val="2"/>
      <scheme val="major"/>
    </font>
    <font>
      <b/>
      <sz val="18"/>
      <color theme="2" tint="-0.749992370372631"/>
      <name val="Aptos Display"/>
      <family val="2"/>
      <scheme val="major"/>
    </font>
    <font>
      <b/>
      <sz val="18"/>
      <color theme="6"/>
      <name val="Aptos Narrow"/>
      <family val="2"/>
      <scheme val="minor"/>
    </font>
    <font>
      <b/>
      <sz val="20"/>
      <color theme="6"/>
      <name val="Aptos Narrow"/>
      <family val="2"/>
      <scheme val="minor"/>
    </font>
    <font>
      <b/>
      <sz val="20"/>
      <color theme="3" tint="0.249977111117893"/>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3">
    <border>
      <left/>
      <right/>
      <top/>
      <bottom/>
      <diagonal/>
    </border>
    <border>
      <left/>
      <right/>
      <top style="thin">
        <color theme="9"/>
      </top>
      <bottom style="thin">
        <color theme="9"/>
      </bottom>
      <diagonal/>
    </border>
    <border>
      <left style="thick">
        <color theme="2" tint="-0.24994659260841701"/>
      </left>
      <right/>
      <top style="thick">
        <color theme="2" tint="-0.24994659260841701"/>
      </top>
      <bottom style="thick">
        <color theme="2" tint="-0.24994659260841701"/>
      </bottom>
      <diagonal/>
    </border>
    <border>
      <left/>
      <right/>
      <top style="thick">
        <color theme="2" tint="-0.24994659260841701"/>
      </top>
      <bottom style="thick">
        <color theme="2" tint="-0.24994659260841701"/>
      </bottom>
      <diagonal/>
    </border>
    <border>
      <left/>
      <right style="thick">
        <color theme="2" tint="-0.24994659260841701"/>
      </right>
      <top style="thick">
        <color theme="2" tint="-0.24994659260841701"/>
      </top>
      <bottom style="thick">
        <color theme="2" tint="-0.24994659260841701"/>
      </bottom>
      <diagonal/>
    </border>
    <border>
      <left/>
      <right/>
      <top style="thick">
        <color theme="2" tint="-0.24994659260841701"/>
      </top>
      <bottom/>
      <diagonal/>
    </border>
    <border>
      <left style="thick">
        <color theme="2" tint="-0.24994659260841701"/>
      </left>
      <right/>
      <top style="thick">
        <color theme="2" tint="-0.24994659260841701"/>
      </top>
      <bottom/>
      <diagonal/>
    </border>
    <border>
      <left/>
      <right style="thick">
        <color theme="2" tint="-0.24994659260841701"/>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top/>
      <bottom style="thick">
        <color theme="2" tint="-0.24994659260841701"/>
      </bottom>
      <diagonal/>
    </border>
    <border>
      <left/>
      <right style="thick">
        <color theme="2" tint="-0.24994659260841701"/>
      </right>
      <top/>
      <bottom style="thick">
        <color theme="2" tint="-0.24994659260841701"/>
      </bottom>
      <diagonal/>
    </border>
  </borders>
  <cellStyleXfs count="1">
    <xf numFmtId="0" fontId="0" fillId="0" borderId="0"/>
  </cellStyleXfs>
  <cellXfs count="44">
    <xf numFmtId="0" fontId="0" fillId="0" borderId="0" xfId="0"/>
    <xf numFmtId="0" fontId="0" fillId="0" borderId="0" xfId="0" applyAlignment="1">
      <alignment vertical="center"/>
    </xf>
    <xf numFmtId="165" fontId="0" fillId="0" borderId="0" xfId="0" applyNumberFormat="1" applyAlignment="1">
      <alignment vertical="center"/>
    </xf>
    <xf numFmtId="0" fontId="0" fillId="0" borderId="0" xfId="0"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xf>
    <xf numFmtId="165" fontId="2" fillId="0" borderId="0" xfId="0" applyNumberFormat="1" applyFont="1" applyAlignment="1">
      <alignment vertical="center"/>
    </xf>
    <xf numFmtId="164" fontId="2" fillId="0" borderId="0" xfId="0" applyNumberFormat="1" applyFont="1" applyAlignment="1">
      <alignment vertical="center"/>
    </xf>
    <xf numFmtId="0" fontId="2" fillId="0" borderId="0" xfId="0" applyFont="1"/>
    <xf numFmtId="165" fontId="2" fillId="0" borderId="0" xfId="0" applyNumberFormat="1" applyFont="1"/>
    <xf numFmtId="0" fontId="1" fillId="0" borderId="1" xfId="0" applyFont="1" applyBorder="1" applyAlignment="1">
      <alignment horizontal="center" vertical="center"/>
    </xf>
    <xf numFmtId="0" fontId="0" fillId="0" borderId="0" xfId="0" applyFill="1" applyAlignment="1">
      <alignment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9" xfId="0" applyFont="1" applyFill="1" applyBorder="1" applyAlignment="1">
      <alignment horizontal="center" vertical="center"/>
    </xf>
    <xf numFmtId="165" fontId="6" fillId="0" borderId="8"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6" fillId="0" borderId="9" xfId="0" applyNumberFormat="1" applyFont="1" applyFill="1" applyBorder="1" applyAlignment="1">
      <alignment horizontal="center" vertical="center"/>
    </xf>
    <xf numFmtId="0" fontId="7" fillId="0" borderId="8"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9" xfId="0" applyFont="1" applyFill="1" applyBorder="1" applyAlignment="1">
      <alignment horizontal="center" vertical="center"/>
    </xf>
    <xf numFmtId="165" fontId="5" fillId="0" borderId="8" xfId="0" applyNumberFormat="1" applyFont="1" applyFill="1" applyBorder="1" applyAlignment="1">
      <alignment horizontal="center" vertical="center"/>
    </xf>
    <xf numFmtId="165" fontId="5" fillId="0" borderId="0" xfId="0" applyNumberFormat="1" applyFont="1" applyFill="1" applyBorder="1" applyAlignment="1">
      <alignment horizontal="center" vertical="center"/>
    </xf>
    <xf numFmtId="165" fontId="5" fillId="0" borderId="9" xfId="0" applyNumberFormat="1" applyFont="1" applyFill="1" applyBorder="1" applyAlignment="1">
      <alignment horizontal="center" vertical="center"/>
    </xf>
    <xf numFmtId="165" fontId="6" fillId="0" borderId="10" xfId="0" applyNumberFormat="1" applyFont="1" applyFill="1" applyBorder="1" applyAlignment="1">
      <alignment horizontal="center" vertical="center"/>
    </xf>
    <xf numFmtId="165" fontId="6" fillId="0" borderId="11"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12" xfId="0" applyFont="1" applyFill="1" applyBorder="1" applyAlignment="1">
      <alignment horizontal="center" vertical="center"/>
    </xf>
    <xf numFmtId="165" fontId="5" fillId="0" borderId="10" xfId="0" applyNumberFormat="1" applyFont="1" applyFill="1" applyBorder="1" applyAlignment="1">
      <alignment horizontal="center" vertical="center"/>
    </xf>
    <xf numFmtId="165" fontId="5" fillId="0" borderId="11"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0" fillId="2" borderId="0" xfId="0" applyFill="1" applyAlignment="1">
      <alignment vertical="center"/>
    </xf>
  </cellXfs>
  <cellStyles count="1">
    <cellStyle name="Normal" xfId="0" builtinId="0"/>
  </cellStyles>
  <dxfs count="29">
    <dxf>
      <numFmt numFmtId="165" formatCode="&quot;$&quot;#,##0.00"/>
      <alignment horizontal="general" vertical="center" textRotation="0" wrapText="0" indent="0" justifyLastLine="0" shrinkToFit="0" readingOrder="0"/>
    </dxf>
    <dxf>
      <alignment horizontal="general" vertical="center" textRotation="0" wrapText="0" indent="0" justifyLastLine="0" shrinkToFit="0" readingOrder="0"/>
    </dxf>
    <dxf>
      <numFmt numFmtId="165" formatCode="&quot;$&quot;#,##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65" formatCode="&quot;$&quot;#,##0.00"/>
      <alignment horizontal="general" vertical="center" textRotation="0" wrapText="0" indent="0" justifyLastLine="0" shrinkToFit="0" readingOrder="0"/>
    </dxf>
    <dxf>
      <font>
        <strike val="0"/>
        <outline val="0"/>
        <shadow val="0"/>
        <u val="none"/>
        <vertAlign val="baseline"/>
        <sz val="12"/>
        <name val="Aptos Narrow"/>
        <family val="2"/>
        <scheme val="minor"/>
      </font>
      <numFmt numFmtId="165" formatCode="&quot;$&quot;#,##0.00"/>
      <alignment horizontal="general" vertical="center" textRotation="0" wrapText="0" indent="0" justifyLastLine="0" shrinkToFit="0" readingOrder="0"/>
    </dxf>
    <dxf>
      <font>
        <strike val="0"/>
        <outline val="0"/>
        <shadow val="0"/>
        <u val="none"/>
        <vertAlign val="baseline"/>
        <sz val="12"/>
        <name val="Aptos Narrow"/>
        <family val="2"/>
        <scheme val="minor"/>
      </font>
      <alignment horizontal="general" vertical="center" textRotation="0" wrapText="0" indent="0" justifyLastLine="0" shrinkToFit="0" readingOrder="0"/>
    </dxf>
    <dxf>
      <font>
        <strike val="0"/>
        <outline val="0"/>
        <shadow val="0"/>
        <u val="none"/>
        <vertAlign val="baseline"/>
        <sz val="12"/>
        <name val="Aptos Narrow"/>
        <family val="2"/>
        <scheme val="minor"/>
      </font>
      <alignment horizontal="general" vertical="center" textRotation="0" wrapText="0" indent="0" justifyLastLine="0" shrinkToFit="0" readingOrder="0"/>
    </dxf>
    <dxf>
      <font>
        <strike val="0"/>
        <outline val="0"/>
        <shadow val="0"/>
        <u val="none"/>
        <vertAlign val="baseline"/>
        <sz val="12"/>
        <name val="Aptos Narrow"/>
        <family val="2"/>
        <scheme val="minor"/>
      </font>
      <alignment horizontal="general" vertical="center" textRotation="0" wrapText="0" indent="0" justifyLastLine="0" shrinkToFit="0" readingOrder="0"/>
    </dxf>
    <dxf>
      <font>
        <strike val="0"/>
        <outline val="0"/>
        <shadow val="0"/>
        <u val="none"/>
        <vertAlign val="baseline"/>
        <sz val="12"/>
        <name val="Aptos Narrow"/>
        <family val="2"/>
        <scheme val="minor"/>
      </font>
      <alignment horizontal="general"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65" formatCode="&quot;$&quot;#,##0.0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vertical="bottom" textRotation="0" wrapText="0" indent="0" justifyLastLine="0" shrinkToFit="0" readingOrder="0"/>
    </dxf>
    <dxf>
      <font>
        <strike val="0"/>
        <outline val="0"/>
        <shadow val="0"/>
        <u val="none"/>
        <vertAlign val="baseline"/>
        <sz val="12"/>
        <name val="Aptos Narrow"/>
        <family val="2"/>
        <scheme val="minor"/>
      </font>
      <numFmt numFmtId="165" formatCode="&quot;$&quot;#,##0.0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vertical="bottom" textRotation="0" wrapText="0" indent="0" justifyLastLine="0" shrinkToFit="0" readingOrder="0"/>
    </dxf>
    <dxf>
      <font>
        <strike val="0"/>
        <outline val="0"/>
        <shadow val="0"/>
        <u val="none"/>
        <vertAlign val="baseline"/>
        <sz val="12"/>
        <name val="Aptos Narrow"/>
        <family val="2"/>
        <scheme val="minor"/>
      </font>
      <numFmt numFmtId="164" formatCode="mm/dd/yyyy"/>
      <alignment vertical="center" textRotation="0" wrapText="0" indent="0" justifyLastLine="0" shrinkToFit="0" readingOrder="0"/>
    </dxf>
    <dxf>
      <font>
        <strike val="0"/>
        <outline val="0"/>
        <shadow val="0"/>
        <u val="none"/>
        <vertAlign val="baseline"/>
        <sz val="12"/>
        <name val="Aptos Narrow"/>
        <family val="2"/>
        <scheme val="minor"/>
      </font>
      <numFmt numFmtId="164" formatCode="mm/dd/yyyy"/>
      <alignment vertical="center" textRotation="0" wrapText="0" indent="0" justifyLastLine="0" shrinkToFit="0" readingOrder="0"/>
    </dxf>
    <dxf>
      <font>
        <strike val="0"/>
        <outline val="0"/>
        <shadow val="0"/>
        <u val="none"/>
        <vertAlign val="baseline"/>
        <sz val="12"/>
        <name val="Aptos Narrow"/>
        <family val="2"/>
        <scheme val="minor"/>
      </font>
      <numFmt numFmtId="165" formatCode="&quot;$&quot;#,##0.00"/>
      <alignment vertical="center" textRotation="0" wrapText="0" indent="0" justifyLastLine="0" shrinkToFit="0" readingOrder="0"/>
    </dxf>
    <dxf>
      <font>
        <strike val="0"/>
        <outline val="0"/>
        <shadow val="0"/>
        <u val="none"/>
        <vertAlign val="baseline"/>
        <sz val="12"/>
        <name val="Aptos Narrow"/>
        <family val="2"/>
        <scheme val="minor"/>
      </font>
      <alignment vertical="center" textRotation="0" wrapText="0" indent="0" justifyLastLine="0" shrinkToFit="0" readingOrder="0"/>
    </dxf>
    <dxf>
      <font>
        <strike val="0"/>
        <outline val="0"/>
        <shadow val="0"/>
        <u val="none"/>
        <vertAlign val="baseline"/>
        <sz val="12"/>
        <name val="Aptos Narrow"/>
        <family val="2"/>
        <scheme val="minor"/>
      </font>
      <alignment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[Santarin_territory_chart.xlsx]Monthly_Revenue_Trend!PivotTable1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j-lt"/>
                <a:ea typeface="+mn-ea"/>
                <a:cs typeface="+mn-cs"/>
              </a:defRPr>
            </a:pPr>
            <a:r>
              <a:rPr lang="en-US" sz="1800" b="1">
                <a:solidFill>
                  <a:schemeClr val="tx1">
                    <a:lumMod val="75000"/>
                    <a:lumOff val="25000"/>
                  </a:schemeClr>
                </a:solidFill>
                <a:latin typeface="+mj-lt"/>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Monthly_Revenue_Trend!$B$1</c:f>
              <c:strCache>
                <c:ptCount val="1"/>
                <c:pt idx="0">
                  <c:v>Total</c:v>
                </c:pt>
              </c:strCache>
            </c:strRef>
          </c:tx>
          <c:spPr>
            <a:ln w="28575" cap="rnd">
              <a:solidFill>
                <a:schemeClr val="tx2">
                  <a:lumMod val="50000"/>
                  <a:lumOff val="50000"/>
                </a:schemeClr>
              </a:solidFill>
              <a:round/>
            </a:ln>
            <a:effectLst/>
          </c:spPr>
          <c:marker>
            <c:symbol val="none"/>
          </c:marker>
          <c:cat>
            <c:strRef>
              <c:f>Monthly_Revenue_Trend!$A$2:$A$50</c:f>
              <c:strCache>
                <c:ptCount val="48"/>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pt idx="37">
                  <c:v>2025-02</c:v>
                </c:pt>
                <c:pt idx="38">
                  <c:v>2025-03</c:v>
                </c:pt>
                <c:pt idx="39">
                  <c:v>2025-04</c:v>
                </c:pt>
                <c:pt idx="40">
                  <c:v>2025-05</c:v>
                </c:pt>
                <c:pt idx="41">
                  <c:v>2025-06</c:v>
                </c:pt>
                <c:pt idx="42">
                  <c:v>2025-07</c:v>
                </c:pt>
                <c:pt idx="43">
                  <c:v>2025-08</c:v>
                </c:pt>
                <c:pt idx="44">
                  <c:v>2025-09</c:v>
                </c:pt>
                <c:pt idx="45">
                  <c:v>2025-10</c:v>
                </c:pt>
                <c:pt idx="46">
                  <c:v>2025-11</c:v>
                </c:pt>
                <c:pt idx="47">
                  <c:v>2025-12</c:v>
                </c:pt>
              </c:strCache>
            </c:strRef>
          </c:cat>
          <c:val>
            <c:numRef>
              <c:f>Monthly_Revenue_Trend!$B$2:$B$50</c:f>
              <c:numCache>
                <c:formatCode>"$"#,##0.00</c:formatCode>
                <c:ptCount val="48"/>
                <c:pt idx="0">
                  <c:v>48143.95</c:v>
                </c:pt>
                <c:pt idx="1">
                  <c:v>46257.35</c:v>
                </c:pt>
                <c:pt idx="2">
                  <c:v>53541.25</c:v>
                </c:pt>
                <c:pt idx="3">
                  <c:v>49505.25</c:v>
                </c:pt>
                <c:pt idx="4">
                  <c:v>58326.64</c:v>
                </c:pt>
                <c:pt idx="5">
                  <c:v>48683.24</c:v>
                </c:pt>
                <c:pt idx="6">
                  <c:v>57545.77</c:v>
                </c:pt>
                <c:pt idx="7">
                  <c:v>48656.98</c:v>
                </c:pt>
                <c:pt idx="8">
                  <c:v>42839.1</c:v>
                </c:pt>
                <c:pt idx="9">
                  <c:v>49508.42</c:v>
                </c:pt>
                <c:pt idx="10">
                  <c:v>44519.86</c:v>
                </c:pt>
                <c:pt idx="11">
                  <c:v>50885.58</c:v>
                </c:pt>
                <c:pt idx="12">
                  <c:v>70589.710000000006</c:v>
                </c:pt>
                <c:pt idx="13">
                  <c:v>74547.62</c:v>
                </c:pt>
                <c:pt idx="14">
                  <c:v>71490.8</c:v>
                </c:pt>
                <c:pt idx="15">
                  <c:v>71671.429999999993</c:v>
                </c:pt>
                <c:pt idx="16">
                  <c:v>76942.62</c:v>
                </c:pt>
                <c:pt idx="17">
                  <c:v>75958.75</c:v>
                </c:pt>
                <c:pt idx="18">
                  <c:v>74438.539999999994</c:v>
                </c:pt>
                <c:pt idx="19">
                  <c:v>71626.47</c:v>
                </c:pt>
                <c:pt idx="20">
                  <c:v>86388.39</c:v>
                </c:pt>
                <c:pt idx="21">
                  <c:v>76570.52</c:v>
                </c:pt>
                <c:pt idx="22">
                  <c:v>81150.820000000007</c:v>
                </c:pt>
                <c:pt idx="23">
                  <c:v>85799</c:v>
                </c:pt>
                <c:pt idx="24">
                  <c:v>83362.33</c:v>
                </c:pt>
                <c:pt idx="25">
                  <c:v>65035.27</c:v>
                </c:pt>
                <c:pt idx="26">
                  <c:v>73851.009999999995</c:v>
                </c:pt>
                <c:pt idx="27">
                  <c:v>74763.039999999994</c:v>
                </c:pt>
                <c:pt idx="28">
                  <c:v>78325.77</c:v>
                </c:pt>
                <c:pt idx="29">
                  <c:v>72071.520000000004</c:v>
                </c:pt>
                <c:pt idx="30">
                  <c:v>71626.47</c:v>
                </c:pt>
                <c:pt idx="31">
                  <c:v>90013.08</c:v>
                </c:pt>
                <c:pt idx="32">
                  <c:v>72945.83</c:v>
                </c:pt>
                <c:pt idx="33">
                  <c:v>83388.679999999993</c:v>
                </c:pt>
                <c:pt idx="34">
                  <c:v>83561.14</c:v>
                </c:pt>
                <c:pt idx="35">
                  <c:v>70589.710000000006</c:v>
                </c:pt>
                <c:pt idx="36">
                  <c:v>118654.88</c:v>
                </c:pt>
                <c:pt idx="37">
                  <c:v>105056.57</c:v>
                </c:pt>
                <c:pt idx="38">
                  <c:v>108664.43</c:v>
                </c:pt>
                <c:pt idx="39">
                  <c:v>117732.51</c:v>
                </c:pt>
                <c:pt idx="40">
                  <c:v>125169.68</c:v>
                </c:pt>
                <c:pt idx="41">
                  <c:v>101328.59</c:v>
                </c:pt>
                <c:pt idx="42">
                  <c:v>137940.04999999999</c:v>
                </c:pt>
                <c:pt idx="43">
                  <c:v>129936.53</c:v>
                </c:pt>
                <c:pt idx="44">
                  <c:v>106935.33</c:v>
                </c:pt>
                <c:pt idx="45">
                  <c:v>188215.96</c:v>
                </c:pt>
                <c:pt idx="46">
                  <c:v>133022.84</c:v>
                </c:pt>
                <c:pt idx="47">
                  <c:v>122408.27</c:v>
                </c:pt>
              </c:numCache>
            </c:numRef>
          </c:val>
          <c:smooth val="0"/>
          <c:extLst>
            <c:ext xmlns:c16="http://schemas.microsoft.com/office/drawing/2014/chart" uri="{C3380CC4-5D6E-409C-BE32-E72D297353CC}">
              <c16:uniqueId val="{00000000-9C90-4590-B4C0-E3DBD271FAD9}"/>
            </c:ext>
          </c:extLst>
        </c:ser>
        <c:dLbls>
          <c:showLegendKey val="0"/>
          <c:showVal val="0"/>
          <c:showCatName val="0"/>
          <c:showSerName val="0"/>
          <c:showPercent val="0"/>
          <c:showBubbleSize val="0"/>
        </c:dLbls>
        <c:smooth val="0"/>
        <c:axId val="989577968"/>
        <c:axId val="989581808"/>
      </c:lineChart>
      <c:catAx>
        <c:axId val="9895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989581808"/>
        <c:crosses val="autoZero"/>
        <c:auto val="1"/>
        <c:lblAlgn val="ctr"/>
        <c:lblOffset val="100"/>
        <c:noMultiLvlLbl val="0"/>
      </c:catAx>
      <c:valAx>
        <c:axId val="989581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98957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[Santarin_territory_chart.xlsx]Revenue_by_Region!PivotTable2</c:name>
    <c:fmtId val="6"/>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r>
              <a:rPr lang="en-US" sz="1800" b="1">
                <a:latin typeface="+mj-lt"/>
              </a:rPr>
              <a:t>South Regional Comparison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3"/>
          </a:solidFill>
          <a:ln>
            <a:noFill/>
          </a:ln>
          <a:effectLst/>
        </c:spPr>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pivotFmt>
      <c:pivotFmt>
        <c:idx val="5"/>
        <c:spPr>
          <a:solidFill>
            <a:schemeClr val="accent2"/>
          </a:solidFill>
          <a:ln>
            <a:noFill/>
          </a:ln>
          <a:effectLst/>
        </c:spPr>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pivotFmt>
      <c:pivotFmt>
        <c:idx val="8"/>
        <c:spPr>
          <a:solidFill>
            <a:schemeClr val="accent2"/>
          </a:solidFill>
          <a:ln>
            <a:noFill/>
          </a:ln>
          <a:effectLst/>
        </c:spPr>
      </c:pivotFmt>
    </c:pivotFmts>
    <c:plotArea>
      <c:layout/>
      <c:barChart>
        <c:barDir val="col"/>
        <c:grouping val="clustered"/>
        <c:varyColors val="0"/>
        <c:ser>
          <c:idx val="0"/>
          <c:order val="0"/>
          <c:tx>
            <c:strRef>
              <c:f>Revenue_by_Region!$B$1</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0332-4417-AFF4-891DDAAC439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332-4417-AFF4-891DDAAC4390}"/>
              </c:ext>
            </c:extLst>
          </c:dPt>
          <c:cat>
            <c:strRef>
              <c:f>Revenue_by_Region!$A$2:$A$5</c:f>
              <c:strCache>
                <c:ptCount val="3"/>
                <c:pt idx="0">
                  <c:v>Florida</c:v>
                </c:pt>
                <c:pt idx="1">
                  <c:v>Texas</c:v>
                </c:pt>
                <c:pt idx="2">
                  <c:v>South Carolina</c:v>
                </c:pt>
              </c:strCache>
            </c:strRef>
          </c:cat>
          <c:val>
            <c:numRef>
              <c:f>Revenue_by_Region!$B$2:$B$5</c:f>
              <c:numCache>
                <c:formatCode>"$"#,##0.00</c:formatCode>
                <c:ptCount val="3"/>
                <c:pt idx="0">
                  <c:v>3930187.55</c:v>
                </c:pt>
                <c:pt idx="1">
                  <c:v>3417850.01</c:v>
                </c:pt>
                <c:pt idx="2">
                  <c:v>648812.56000000006</c:v>
                </c:pt>
              </c:numCache>
            </c:numRef>
          </c:val>
          <c:extLst>
            <c:ext xmlns:c16="http://schemas.microsoft.com/office/drawing/2014/chart" uri="{C3380CC4-5D6E-409C-BE32-E72D297353CC}">
              <c16:uniqueId val="{00000004-0332-4417-AFF4-891DDAAC4390}"/>
            </c:ext>
          </c:extLst>
        </c:ser>
        <c:dLbls>
          <c:showLegendKey val="0"/>
          <c:showVal val="0"/>
          <c:showCatName val="0"/>
          <c:showSerName val="0"/>
          <c:showPercent val="0"/>
          <c:showBubbleSize val="0"/>
        </c:dLbls>
        <c:gapWidth val="219"/>
        <c:axId val="1467995983"/>
        <c:axId val="1467990703"/>
      </c:barChart>
      <c:catAx>
        <c:axId val="146799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67990703"/>
        <c:crosses val="autoZero"/>
        <c:auto val="1"/>
        <c:lblAlgn val="ctr"/>
        <c:lblOffset val="100"/>
        <c:noMultiLvlLbl val="0"/>
      </c:catAx>
      <c:valAx>
        <c:axId val="146799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4679959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[Santarin_territory_chart.xlsx]Revenue_by_Category!PivotTable1</c:name>
    <c:fmtId val="7"/>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r>
              <a:rPr lang="en-US" sz="1800">
                <a:latin typeface="+mj-lt"/>
              </a:rPr>
              <a:t>Revenue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Revenue_by_Category!$B$1</c:f>
              <c:strCache>
                <c:ptCount val="1"/>
                <c:pt idx="0">
                  <c:v>Total Revenue</c:v>
                </c:pt>
              </c:strCache>
            </c:strRef>
          </c:tx>
          <c:spPr>
            <a:solidFill>
              <a:schemeClr val="tx2">
                <a:lumMod val="50000"/>
                <a:lumOff val="50000"/>
              </a:schemeClr>
            </a:solidFill>
            <a:ln>
              <a:noFill/>
            </a:ln>
            <a:effectLst/>
          </c:spPr>
          <c:invertIfNegative val="0"/>
          <c:cat>
            <c:strRef>
              <c:f>Revenue_by_Category!$A$2:$A$8</c:f>
              <c:strCache>
                <c:ptCount val="6"/>
                <c:pt idx="0">
                  <c:v>Technology &amp; Accessories</c:v>
                </c:pt>
                <c:pt idx="1">
                  <c:v>Textbooks</c:v>
                </c:pt>
                <c:pt idx="2">
                  <c:v>Apparel and Merchandise</c:v>
                </c:pt>
                <c:pt idx="3">
                  <c:v>Art Supplies</c:v>
                </c:pt>
                <c:pt idx="4">
                  <c:v>Books (General)</c:v>
                </c:pt>
                <c:pt idx="5">
                  <c:v>Stationery and Supplies</c:v>
                </c:pt>
              </c:strCache>
            </c:strRef>
          </c:cat>
          <c:val>
            <c:numRef>
              <c:f>Revenue_by_Category!$B$2:$B$8</c:f>
              <c:numCache>
                <c:formatCode>"$"#,##0.00</c:formatCode>
                <c:ptCount val="6"/>
                <c:pt idx="0">
                  <c:v>2764161.11</c:v>
                </c:pt>
                <c:pt idx="1">
                  <c:v>706789.57000000007</c:v>
                </c:pt>
                <c:pt idx="2">
                  <c:v>180626.02</c:v>
                </c:pt>
                <c:pt idx="3">
                  <c:v>147371.61000000002</c:v>
                </c:pt>
                <c:pt idx="4">
                  <c:v>70124.489999999991</c:v>
                </c:pt>
                <c:pt idx="5">
                  <c:v>61114.75</c:v>
                </c:pt>
              </c:numCache>
            </c:numRef>
          </c:val>
          <c:extLst>
            <c:ext xmlns:c16="http://schemas.microsoft.com/office/drawing/2014/chart" uri="{C3380CC4-5D6E-409C-BE32-E72D297353CC}">
              <c16:uniqueId val="{00000000-B227-4771-987B-3422FF3B4E50}"/>
            </c:ext>
          </c:extLst>
        </c:ser>
        <c:ser>
          <c:idx val="1"/>
          <c:order val="1"/>
          <c:tx>
            <c:strRef>
              <c:f>Revenue_by_Category!$C$1</c:f>
              <c:strCache>
                <c:ptCount val="1"/>
                <c:pt idx="0">
                  <c:v>Total Transactions</c:v>
                </c:pt>
              </c:strCache>
            </c:strRef>
          </c:tx>
          <c:spPr>
            <a:solidFill>
              <a:schemeClr val="accent2"/>
            </a:solidFill>
            <a:ln>
              <a:noFill/>
            </a:ln>
            <a:effectLst/>
          </c:spPr>
          <c:invertIfNegative val="0"/>
          <c:cat>
            <c:strRef>
              <c:f>Revenue_by_Category!$A$2:$A$8</c:f>
              <c:strCache>
                <c:ptCount val="6"/>
                <c:pt idx="0">
                  <c:v>Technology &amp; Accessories</c:v>
                </c:pt>
                <c:pt idx="1">
                  <c:v>Textbooks</c:v>
                </c:pt>
                <c:pt idx="2">
                  <c:v>Apparel and Merchandise</c:v>
                </c:pt>
                <c:pt idx="3">
                  <c:v>Art Supplies</c:v>
                </c:pt>
                <c:pt idx="4">
                  <c:v>Books (General)</c:v>
                </c:pt>
                <c:pt idx="5">
                  <c:v>Stationery and Supplies</c:v>
                </c:pt>
              </c:strCache>
            </c:strRef>
          </c:cat>
          <c:val>
            <c:numRef>
              <c:f>Revenue_by_Category!$C$2:$C$8</c:f>
              <c:numCache>
                <c:formatCode>General</c:formatCode>
                <c:ptCount val="6"/>
                <c:pt idx="0">
                  <c:v>5934</c:v>
                </c:pt>
                <c:pt idx="1">
                  <c:v>4053</c:v>
                </c:pt>
                <c:pt idx="2">
                  <c:v>5539</c:v>
                </c:pt>
                <c:pt idx="3">
                  <c:v>4596</c:v>
                </c:pt>
                <c:pt idx="4">
                  <c:v>2366</c:v>
                </c:pt>
                <c:pt idx="5">
                  <c:v>6128</c:v>
                </c:pt>
              </c:numCache>
            </c:numRef>
          </c:val>
          <c:extLst>
            <c:ext xmlns:c16="http://schemas.microsoft.com/office/drawing/2014/chart" uri="{C3380CC4-5D6E-409C-BE32-E72D297353CC}">
              <c16:uniqueId val="{00000001-B227-4771-987B-3422FF3B4E50}"/>
            </c:ext>
          </c:extLst>
        </c:ser>
        <c:dLbls>
          <c:showLegendKey val="0"/>
          <c:showVal val="0"/>
          <c:showCatName val="0"/>
          <c:showSerName val="0"/>
          <c:showPercent val="0"/>
          <c:showBubbleSize val="0"/>
        </c:dLbls>
        <c:gapWidth val="219"/>
        <c:axId val="1611842512"/>
        <c:axId val="1611842992"/>
      </c:barChart>
      <c:catAx>
        <c:axId val="161184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611842992"/>
        <c:crosses val="autoZero"/>
        <c:auto val="1"/>
        <c:lblAlgn val="ctr"/>
        <c:lblOffset val="100"/>
        <c:noMultiLvlLbl val="0"/>
      </c:catAx>
      <c:valAx>
        <c:axId val="1611842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611842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[Santarin_territory_chart.xlsx]Store_Rank_by_Revenue!PivotTable2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chemeClr val="tx1">
                    <a:lumMod val="75000"/>
                    <a:lumOff val="25000"/>
                  </a:schemeClr>
                </a:solidFill>
              </a:rPr>
              <a:t>Store Rank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Store_Rank_by_Revenue!$B$1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Store_Rank_by_Revenue!$A$2:$A$13</c:f>
              <c:strCache>
                <c:ptCount val="11"/>
                <c:pt idx="0">
                  <c:v>Naples</c:v>
                </c:pt>
                <c:pt idx="1">
                  <c:v>Lakeland</c:v>
                </c:pt>
                <c:pt idx="2">
                  <c:v>Orlando</c:v>
                </c:pt>
                <c:pt idx="3">
                  <c:v>Fort Lauderdale</c:v>
                </c:pt>
                <c:pt idx="4">
                  <c:v>Tampa</c:v>
                </c:pt>
                <c:pt idx="5">
                  <c:v>Sebring</c:v>
                </c:pt>
                <c:pt idx="6">
                  <c:v>Jacksonville</c:v>
                </c:pt>
                <c:pt idx="7">
                  <c:v>Cape Canaveral</c:v>
                </c:pt>
                <c:pt idx="8">
                  <c:v>Key West</c:v>
                </c:pt>
                <c:pt idx="9">
                  <c:v>Tallahassee</c:v>
                </c:pt>
                <c:pt idx="10">
                  <c:v>Miami</c:v>
                </c:pt>
              </c:strCache>
            </c:strRef>
          </c:cat>
          <c:val>
            <c:numRef>
              <c:f>Store_Rank_by_Revenue!$B$2:$B$13</c:f>
              <c:numCache>
                <c:formatCode>"$"#,##0.00</c:formatCode>
                <c:ptCount val="11"/>
                <c:pt idx="0">
                  <c:v>259602.83</c:v>
                </c:pt>
                <c:pt idx="1">
                  <c:v>273835.24</c:v>
                </c:pt>
                <c:pt idx="2">
                  <c:v>297891.71000000002</c:v>
                </c:pt>
                <c:pt idx="3">
                  <c:v>302270.07</c:v>
                </c:pt>
                <c:pt idx="4">
                  <c:v>308979.01</c:v>
                </c:pt>
                <c:pt idx="5">
                  <c:v>330848.14</c:v>
                </c:pt>
                <c:pt idx="6">
                  <c:v>331667.08</c:v>
                </c:pt>
                <c:pt idx="7">
                  <c:v>331956.13</c:v>
                </c:pt>
                <c:pt idx="8">
                  <c:v>332620.43</c:v>
                </c:pt>
                <c:pt idx="9">
                  <c:v>541670.66</c:v>
                </c:pt>
                <c:pt idx="10">
                  <c:v>618846.25</c:v>
                </c:pt>
              </c:numCache>
            </c:numRef>
          </c:val>
          <c:extLst>
            <c:ext xmlns:c16="http://schemas.microsoft.com/office/drawing/2014/chart" uri="{C3380CC4-5D6E-409C-BE32-E72D297353CC}">
              <c16:uniqueId val="{00000000-60D6-4BE1-976A-90132845C2E8}"/>
            </c:ext>
          </c:extLst>
        </c:ser>
        <c:dLbls>
          <c:dLblPos val="inEnd"/>
          <c:showLegendKey val="0"/>
          <c:showVal val="1"/>
          <c:showCatName val="0"/>
          <c:showSerName val="0"/>
          <c:showPercent val="0"/>
          <c:showBubbleSize val="0"/>
        </c:dLbls>
        <c:gapWidth val="65"/>
        <c:axId val="1611829072"/>
        <c:axId val="1611837712"/>
      </c:barChart>
      <c:catAx>
        <c:axId val="1611829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tx1">
                    <a:lumMod val="75000"/>
                    <a:lumOff val="25000"/>
                  </a:schemeClr>
                </a:solidFill>
                <a:latin typeface="+mn-lt"/>
                <a:ea typeface="+mn-ea"/>
                <a:cs typeface="+mn-cs"/>
              </a:defRPr>
            </a:pPr>
            <a:endParaRPr lang="en-US"/>
          </a:p>
        </c:txPr>
        <c:crossAx val="1611837712"/>
        <c:crosses val="autoZero"/>
        <c:auto val="1"/>
        <c:lblAlgn val="ctr"/>
        <c:lblOffset val="100"/>
        <c:noMultiLvlLbl val="0"/>
      </c:catAx>
      <c:valAx>
        <c:axId val="161183771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61182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[Santarin_territory_chart.xlsx]Monthly_Revenue_Trend!PivotTable1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j-lt"/>
                <a:ea typeface="+mn-ea"/>
                <a:cs typeface="+mn-cs"/>
              </a:defRPr>
            </a:pPr>
            <a:r>
              <a:rPr lang="en-US" sz="1800" b="1">
                <a:solidFill>
                  <a:schemeClr val="tx1">
                    <a:lumMod val="75000"/>
                    <a:lumOff val="25000"/>
                  </a:schemeClr>
                </a:solidFill>
                <a:latin typeface="+mj-lt"/>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Monthly_Revenue_Trend!$B$1</c:f>
              <c:strCache>
                <c:ptCount val="1"/>
                <c:pt idx="0">
                  <c:v>Total</c:v>
                </c:pt>
              </c:strCache>
            </c:strRef>
          </c:tx>
          <c:spPr>
            <a:ln w="28575" cap="rnd">
              <a:solidFill>
                <a:schemeClr val="tx2">
                  <a:lumMod val="50000"/>
                  <a:lumOff val="50000"/>
                </a:schemeClr>
              </a:solidFill>
              <a:round/>
            </a:ln>
            <a:effectLst/>
          </c:spPr>
          <c:marker>
            <c:symbol val="none"/>
          </c:marker>
          <c:cat>
            <c:strRef>
              <c:f>Monthly_Revenue_Trend!$A$2:$A$50</c:f>
              <c:strCache>
                <c:ptCount val="48"/>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pt idx="37">
                  <c:v>2025-02</c:v>
                </c:pt>
                <c:pt idx="38">
                  <c:v>2025-03</c:v>
                </c:pt>
                <c:pt idx="39">
                  <c:v>2025-04</c:v>
                </c:pt>
                <c:pt idx="40">
                  <c:v>2025-05</c:v>
                </c:pt>
                <c:pt idx="41">
                  <c:v>2025-06</c:v>
                </c:pt>
                <c:pt idx="42">
                  <c:v>2025-07</c:v>
                </c:pt>
                <c:pt idx="43">
                  <c:v>2025-08</c:v>
                </c:pt>
                <c:pt idx="44">
                  <c:v>2025-09</c:v>
                </c:pt>
                <c:pt idx="45">
                  <c:v>2025-10</c:v>
                </c:pt>
                <c:pt idx="46">
                  <c:v>2025-11</c:v>
                </c:pt>
                <c:pt idx="47">
                  <c:v>2025-12</c:v>
                </c:pt>
              </c:strCache>
            </c:strRef>
          </c:cat>
          <c:val>
            <c:numRef>
              <c:f>Monthly_Revenue_Trend!$B$2:$B$50</c:f>
              <c:numCache>
                <c:formatCode>"$"#,##0.00</c:formatCode>
                <c:ptCount val="48"/>
                <c:pt idx="0">
                  <c:v>48143.95</c:v>
                </c:pt>
                <c:pt idx="1">
                  <c:v>46257.35</c:v>
                </c:pt>
                <c:pt idx="2">
                  <c:v>53541.25</c:v>
                </c:pt>
                <c:pt idx="3">
                  <c:v>49505.25</c:v>
                </c:pt>
                <c:pt idx="4">
                  <c:v>58326.64</c:v>
                </c:pt>
                <c:pt idx="5">
                  <c:v>48683.24</c:v>
                </c:pt>
                <c:pt idx="6">
                  <c:v>57545.77</c:v>
                </c:pt>
                <c:pt idx="7">
                  <c:v>48656.98</c:v>
                </c:pt>
                <c:pt idx="8">
                  <c:v>42839.1</c:v>
                </c:pt>
                <c:pt idx="9">
                  <c:v>49508.42</c:v>
                </c:pt>
                <c:pt idx="10">
                  <c:v>44519.86</c:v>
                </c:pt>
                <c:pt idx="11">
                  <c:v>50885.58</c:v>
                </c:pt>
                <c:pt idx="12">
                  <c:v>70589.710000000006</c:v>
                </c:pt>
                <c:pt idx="13">
                  <c:v>74547.62</c:v>
                </c:pt>
                <c:pt idx="14">
                  <c:v>71490.8</c:v>
                </c:pt>
                <c:pt idx="15">
                  <c:v>71671.429999999993</c:v>
                </c:pt>
                <c:pt idx="16">
                  <c:v>76942.62</c:v>
                </c:pt>
                <c:pt idx="17">
                  <c:v>75958.75</c:v>
                </c:pt>
                <c:pt idx="18">
                  <c:v>74438.539999999994</c:v>
                </c:pt>
                <c:pt idx="19">
                  <c:v>71626.47</c:v>
                </c:pt>
                <c:pt idx="20">
                  <c:v>86388.39</c:v>
                </c:pt>
                <c:pt idx="21">
                  <c:v>76570.52</c:v>
                </c:pt>
                <c:pt idx="22">
                  <c:v>81150.820000000007</c:v>
                </c:pt>
                <c:pt idx="23">
                  <c:v>85799</c:v>
                </c:pt>
                <c:pt idx="24">
                  <c:v>83362.33</c:v>
                </c:pt>
                <c:pt idx="25">
                  <c:v>65035.27</c:v>
                </c:pt>
                <c:pt idx="26">
                  <c:v>73851.009999999995</c:v>
                </c:pt>
                <c:pt idx="27">
                  <c:v>74763.039999999994</c:v>
                </c:pt>
                <c:pt idx="28">
                  <c:v>78325.77</c:v>
                </c:pt>
                <c:pt idx="29">
                  <c:v>72071.520000000004</c:v>
                </c:pt>
                <c:pt idx="30">
                  <c:v>71626.47</c:v>
                </c:pt>
                <c:pt idx="31">
                  <c:v>90013.08</c:v>
                </c:pt>
                <c:pt idx="32">
                  <c:v>72945.83</c:v>
                </c:pt>
                <c:pt idx="33">
                  <c:v>83388.679999999993</c:v>
                </c:pt>
                <c:pt idx="34">
                  <c:v>83561.14</c:v>
                </c:pt>
                <c:pt idx="35">
                  <c:v>70589.710000000006</c:v>
                </c:pt>
                <c:pt idx="36">
                  <c:v>118654.88</c:v>
                </c:pt>
                <c:pt idx="37">
                  <c:v>105056.57</c:v>
                </c:pt>
                <c:pt idx="38">
                  <c:v>108664.43</c:v>
                </c:pt>
                <c:pt idx="39">
                  <c:v>117732.51</c:v>
                </c:pt>
                <c:pt idx="40">
                  <c:v>125169.68</c:v>
                </c:pt>
                <c:pt idx="41">
                  <c:v>101328.59</c:v>
                </c:pt>
                <c:pt idx="42">
                  <c:v>137940.04999999999</c:v>
                </c:pt>
                <c:pt idx="43">
                  <c:v>129936.53</c:v>
                </c:pt>
                <c:pt idx="44">
                  <c:v>106935.33</c:v>
                </c:pt>
                <c:pt idx="45">
                  <c:v>188215.96</c:v>
                </c:pt>
                <c:pt idx="46">
                  <c:v>133022.84</c:v>
                </c:pt>
                <c:pt idx="47">
                  <c:v>122408.27</c:v>
                </c:pt>
              </c:numCache>
            </c:numRef>
          </c:val>
          <c:smooth val="0"/>
          <c:extLst>
            <c:ext xmlns:c16="http://schemas.microsoft.com/office/drawing/2014/chart" uri="{C3380CC4-5D6E-409C-BE32-E72D297353CC}">
              <c16:uniqueId val="{00000000-EF8D-4CFB-B468-0CCFB1B37EA0}"/>
            </c:ext>
          </c:extLst>
        </c:ser>
        <c:dLbls>
          <c:showLegendKey val="0"/>
          <c:showVal val="0"/>
          <c:showCatName val="0"/>
          <c:showSerName val="0"/>
          <c:showPercent val="0"/>
          <c:showBubbleSize val="0"/>
        </c:dLbls>
        <c:smooth val="0"/>
        <c:axId val="989577968"/>
        <c:axId val="989581808"/>
      </c:lineChart>
      <c:catAx>
        <c:axId val="9895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989581808"/>
        <c:crosses val="autoZero"/>
        <c:auto val="1"/>
        <c:lblAlgn val="ctr"/>
        <c:lblOffset val="100"/>
        <c:noMultiLvlLbl val="0"/>
      </c:catAx>
      <c:valAx>
        <c:axId val="989581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98957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[Santarin_territory_chart.xlsx]Revenue_by_Region!PivotTable2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r>
              <a:rPr lang="en-US" sz="1800" b="1">
                <a:latin typeface="+mj-lt"/>
              </a:rPr>
              <a:t>South Regional Comparison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3"/>
          </a:solidFill>
          <a:ln>
            <a:noFill/>
          </a:ln>
          <a:effectLst/>
        </c:spPr>
      </c:pivotFmt>
    </c:pivotFmts>
    <c:plotArea>
      <c:layout/>
      <c:barChart>
        <c:barDir val="col"/>
        <c:grouping val="clustered"/>
        <c:varyColors val="0"/>
        <c:ser>
          <c:idx val="0"/>
          <c:order val="0"/>
          <c:tx>
            <c:strRef>
              <c:f>Revenue_by_Region!$B$1</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7DF7-40DA-9732-AF890253E64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7DF7-40DA-9732-AF890253E644}"/>
              </c:ext>
            </c:extLst>
          </c:dPt>
          <c:cat>
            <c:strRef>
              <c:f>Revenue_by_Region!$A$2:$A$5</c:f>
              <c:strCache>
                <c:ptCount val="3"/>
                <c:pt idx="0">
                  <c:v>Florida</c:v>
                </c:pt>
                <c:pt idx="1">
                  <c:v>Texas</c:v>
                </c:pt>
                <c:pt idx="2">
                  <c:v>South Carolina</c:v>
                </c:pt>
              </c:strCache>
            </c:strRef>
          </c:cat>
          <c:val>
            <c:numRef>
              <c:f>Revenue_by_Region!$B$2:$B$5</c:f>
              <c:numCache>
                <c:formatCode>"$"#,##0.00</c:formatCode>
                <c:ptCount val="3"/>
                <c:pt idx="0">
                  <c:v>3930187.55</c:v>
                </c:pt>
                <c:pt idx="1">
                  <c:v>3417850.01</c:v>
                </c:pt>
                <c:pt idx="2">
                  <c:v>648812.56000000006</c:v>
                </c:pt>
              </c:numCache>
            </c:numRef>
          </c:val>
          <c:extLst>
            <c:ext xmlns:c16="http://schemas.microsoft.com/office/drawing/2014/chart" uri="{C3380CC4-5D6E-409C-BE32-E72D297353CC}">
              <c16:uniqueId val="{00000000-7DF7-40DA-9732-AF890253E644}"/>
            </c:ext>
          </c:extLst>
        </c:ser>
        <c:dLbls>
          <c:showLegendKey val="0"/>
          <c:showVal val="0"/>
          <c:showCatName val="0"/>
          <c:showSerName val="0"/>
          <c:showPercent val="0"/>
          <c:showBubbleSize val="0"/>
        </c:dLbls>
        <c:gapWidth val="219"/>
        <c:axId val="1467995983"/>
        <c:axId val="1467990703"/>
      </c:barChart>
      <c:catAx>
        <c:axId val="146799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67990703"/>
        <c:crosses val="autoZero"/>
        <c:auto val="1"/>
        <c:lblAlgn val="ctr"/>
        <c:lblOffset val="100"/>
        <c:noMultiLvlLbl val="0"/>
      </c:catAx>
      <c:valAx>
        <c:axId val="146799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4679959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[Santarin_territory_chart.xlsx]Revenue_by_Category!PivotTable1</c:name>
    <c:fmtId val="0"/>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r>
              <a:rPr lang="en-US" sz="1800">
                <a:latin typeface="+mj-lt"/>
              </a:rPr>
              <a:t>Revenue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Revenue_by_Category!$B$1</c:f>
              <c:strCache>
                <c:ptCount val="1"/>
                <c:pt idx="0">
                  <c:v>Total Revenue</c:v>
                </c:pt>
              </c:strCache>
            </c:strRef>
          </c:tx>
          <c:spPr>
            <a:solidFill>
              <a:schemeClr val="tx2">
                <a:lumMod val="50000"/>
                <a:lumOff val="50000"/>
              </a:schemeClr>
            </a:solidFill>
            <a:ln>
              <a:noFill/>
            </a:ln>
            <a:effectLst/>
          </c:spPr>
          <c:invertIfNegative val="0"/>
          <c:cat>
            <c:strRef>
              <c:f>Revenue_by_Category!$A$2:$A$8</c:f>
              <c:strCache>
                <c:ptCount val="6"/>
                <c:pt idx="0">
                  <c:v>Technology &amp; Accessories</c:v>
                </c:pt>
                <c:pt idx="1">
                  <c:v>Textbooks</c:v>
                </c:pt>
                <c:pt idx="2">
                  <c:v>Apparel and Merchandise</c:v>
                </c:pt>
                <c:pt idx="3">
                  <c:v>Art Supplies</c:v>
                </c:pt>
                <c:pt idx="4">
                  <c:v>Books (General)</c:v>
                </c:pt>
                <c:pt idx="5">
                  <c:v>Stationery and Supplies</c:v>
                </c:pt>
              </c:strCache>
            </c:strRef>
          </c:cat>
          <c:val>
            <c:numRef>
              <c:f>Revenue_by_Category!$B$2:$B$8</c:f>
              <c:numCache>
                <c:formatCode>"$"#,##0.00</c:formatCode>
                <c:ptCount val="6"/>
                <c:pt idx="0">
                  <c:v>2764161.11</c:v>
                </c:pt>
                <c:pt idx="1">
                  <c:v>706789.57000000007</c:v>
                </c:pt>
                <c:pt idx="2">
                  <c:v>180626.02</c:v>
                </c:pt>
                <c:pt idx="3">
                  <c:v>147371.61000000002</c:v>
                </c:pt>
                <c:pt idx="4">
                  <c:v>70124.489999999991</c:v>
                </c:pt>
                <c:pt idx="5">
                  <c:v>61114.75</c:v>
                </c:pt>
              </c:numCache>
            </c:numRef>
          </c:val>
          <c:extLst>
            <c:ext xmlns:c16="http://schemas.microsoft.com/office/drawing/2014/chart" uri="{C3380CC4-5D6E-409C-BE32-E72D297353CC}">
              <c16:uniqueId val="{00000000-6CA8-4611-9C58-CC3F63FF6969}"/>
            </c:ext>
          </c:extLst>
        </c:ser>
        <c:ser>
          <c:idx val="1"/>
          <c:order val="1"/>
          <c:tx>
            <c:strRef>
              <c:f>Revenue_by_Category!$C$1</c:f>
              <c:strCache>
                <c:ptCount val="1"/>
                <c:pt idx="0">
                  <c:v>Total Transactions</c:v>
                </c:pt>
              </c:strCache>
            </c:strRef>
          </c:tx>
          <c:spPr>
            <a:solidFill>
              <a:schemeClr val="accent2"/>
            </a:solidFill>
            <a:ln>
              <a:noFill/>
            </a:ln>
            <a:effectLst/>
          </c:spPr>
          <c:invertIfNegative val="0"/>
          <c:cat>
            <c:strRef>
              <c:f>Revenue_by_Category!$A$2:$A$8</c:f>
              <c:strCache>
                <c:ptCount val="6"/>
                <c:pt idx="0">
                  <c:v>Technology &amp; Accessories</c:v>
                </c:pt>
                <c:pt idx="1">
                  <c:v>Textbooks</c:v>
                </c:pt>
                <c:pt idx="2">
                  <c:v>Apparel and Merchandise</c:v>
                </c:pt>
                <c:pt idx="3">
                  <c:v>Art Supplies</c:v>
                </c:pt>
                <c:pt idx="4">
                  <c:v>Books (General)</c:v>
                </c:pt>
                <c:pt idx="5">
                  <c:v>Stationery and Supplies</c:v>
                </c:pt>
              </c:strCache>
            </c:strRef>
          </c:cat>
          <c:val>
            <c:numRef>
              <c:f>Revenue_by_Category!$C$2:$C$8</c:f>
              <c:numCache>
                <c:formatCode>General</c:formatCode>
                <c:ptCount val="6"/>
                <c:pt idx="0">
                  <c:v>5934</c:v>
                </c:pt>
                <c:pt idx="1">
                  <c:v>4053</c:v>
                </c:pt>
                <c:pt idx="2">
                  <c:v>5539</c:v>
                </c:pt>
                <c:pt idx="3">
                  <c:v>4596</c:v>
                </c:pt>
                <c:pt idx="4">
                  <c:v>2366</c:v>
                </c:pt>
                <c:pt idx="5">
                  <c:v>6128</c:v>
                </c:pt>
              </c:numCache>
            </c:numRef>
          </c:val>
          <c:extLst>
            <c:ext xmlns:c16="http://schemas.microsoft.com/office/drawing/2014/chart" uri="{C3380CC4-5D6E-409C-BE32-E72D297353CC}">
              <c16:uniqueId val="{00000002-6CA8-4611-9C58-CC3F63FF6969}"/>
            </c:ext>
          </c:extLst>
        </c:ser>
        <c:dLbls>
          <c:showLegendKey val="0"/>
          <c:showVal val="0"/>
          <c:showCatName val="0"/>
          <c:showSerName val="0"/>
          <c:showPercent val="0"/>
          <c:showBubbleSize val="0"/>
        </c:dLbls>
        <c:gapWidth val="219"/>
        <c:axId val="1611842512"/>
        <c:axId val="1611842992"/>
      </c:barChart>
      <c:catAx>
        <c:axId val="161184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611842992"/>
        <c:crosses val="autoZero"/>
        <c:auto val="1"/>
        <c:lblAlgn val="ctr"/>
        <c:lblOffset val="100"/>
        <c:noMultiLvlLbl val="0"/>
      </c:catAx>
      <c:valAx>
        <c:axId val="1611842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611842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[Santarin_territory_chart.xlsx]Store_Rank_by_Revenue!PivotTable2</c:name>
    <c:fmtId val="0"/>
  </c:pivotSource>
  <c:chart>
    <c:title>
      <c:tx>
        <c:rich>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r>
              <a:rPr lang="en-US">
                <a:solidFill>
                  <a:schemeClr val="tx1">
                    <a:lumMod val="75000"/>
                    <a:lumOff val="25000"/>
                  </a:schemeClr>
                </a:solidFill>
                <a:latin typeface="+mj-lt"/>
              </a:rPr>
              <a:t>Store Rank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Store_Rank_by_Revenue!$B$1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Store_Rank_by_Revenue!$A$2:$A$13</c:f>
              <c:strCache>
                <c:ptCount val="11"/>
                <c:pt idx="0">
                  <c:v>Naples</c:v>
                </c:pt>
                <c:pt idx="1">
                  <c:v>Lakeland</c:v>
                </c:pt>
                <c:pt idx="2">
                  <c:v>Orlando</c:v>
                </c:pt>
                <c:pt idx="3">
                  <c:v>Fort Lauderdale</c:v>
                </c:pt>
                <c:pt idx="4">
                  <c:v>Tampa</c:v>
                </c:pt>
                <c:pt idx="5">
                  <c:v>Sebring</c:v>
                </c:pt>
                <c:pt idx="6">
                  <c:v>Jacksonville</c:v>
                </c:pt>
                <c:pt idx="7">
                  <c:v>Cape Canaveral</c:v>
                </c:pt>
                <c:pt idx="8">
                  <c:v>Key West</c:v>
                </c:pt>
                <c:pt idx="9">
                  <c:v>Tallahassee</c:v>
                </c:pt>
                <c:pt idx="10">
                  <c:v>Miami</c:v>
                </c:pt>
              </c:strCache>
            </c:strRef>
          </c:cat>
          <c:val>
            <c:numRef>
              <c:f>Store_Rank_by_Revenue!$B$2:$B$13</c:f>
              <c:numCache>
                <c:formatCode>"$"#,##0.00</c:formatCode>
                <c:ptCount val="11"/>
                <c:pt idx="0">
                  <c:v>259602.83</c:v>
                </c:pt>
                <c:pt idx="1">
                  <c:v>273835.24</c:v>
                </c:pt>
                <c:pt idx="2">
                  <c:v>297891.71000000002</c:v>
                </c:pt>
                <c:pt idx="3">
                  <c:v>302270.07</c:v>
                </c:pt>
                <c:pt idx="4">
                  <c:v>308979.01</c:v>
                </c:pt>
                <c:pt idx="5">
                  <c:v>330848.14</c:v>
                </c:pt>
                <c:pt idx="6">
                  <c:v>331667.08</c:v>
                </c:pt>
                <c:pt idx="7">
                  <c:v>331956.13</c:v>
                </c:pt>
                <c:pt idx="8">
                  <c:v>332620.43</c:v>
                </c:pt>
                <c:pt idx="9">
                  <c:v>541670.66</c:v>
                </c:pt>
                <c:pt idx="10">
                  <c:v>618846.25</c:v>
                </c:pt>
              </c:numCache>
            </c:numRef>
          </c:val>
          <c:extLst>
            <c:ext xmlns:c16="http://schemas.microsoft.com/office/drawing/2014/chart" uri="{C3380CC4-5D6E-409C-BE32-E72D297353CC}">
              <c16:uniqueId val="{00000000-EAC5-47DA-82C5-6472BD469906}"/>
            </c:ext>
          </c:extLst>
        </c:ser>
        <c:dLbls>
          <c:dLblPos val="inEnd"/>
          <c:showLegendKey val="0"/>
          <c:showVal val="1"/>
          <c:showCatName val="0"/>
          <c:showSerName val="0"/>
          <c:showPercent val="0"/>
          <c:showBubbleSize val="0"/>
        </c:dLbls>
        <c:gapWidth val="65"/>
        <c:axId val="1611829072"/>
        <c:axId val="1611837712"/>
      </c:barChart>
      <c:catAx>
        <c:axId val="1611829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tx1">
                    <a:lumMod val="75000"/>
                    <a:lumOff val="25000"/>
                  </a:schemeClr>
                </a:solidFill>
                <a:latin typeface="+mn-lt"/>
                <a:ea typeface="+mn-ea"/>
                <a:cs typeface="+mn-cs"/>
              </a:defRPr>
            </a:pPr>
            <a:endParaRPr lang="en-US"/>
          </a:p>
        </c:txPr>
        <c:crossAx val="1611837712"/>
        <c:crosses val="autoZero"/>
        <c:auto val="1"/>
        <c:lblAlgn val="ctr"/>
        <c:lblOffset val="100"/>
        <c:noMultiLvlLbl val="0"/>
      </c:catAx>
      <c:valAx>
        <c:axId val="161183771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61182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22223</xdr:colOff>
      <xdr:row>7</xdr:row>
      <xdr:rowOff>63500</xdr:rowOff>
    </xdr:from>
    <xdr:to>
      <xdr:col>17</xdr:col>
      <xdr:colOff>11906</xdr:colOff>
      <xdr:row>23</xdr:row>
      <xdr:rowOff>10583</xdr:rowOff>
    </xdr:to>
    <xdr:graphicFrame macro="">
      <xdr:nvGraphicFramePr>
        <xdr:cNvPr id="2" name="Chart 1">
          <a:extLst>
            <a:ext uri="{FF2B5EF4-FFF2-40B4-BE49-F238E27FC236}">
              <a16:creationId xmlns:a16="http://schemas.microsoft.com/office/drawing/2014/main" id="{886FEB1A-9FA4-4254-AD49-9D62AEDD2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40482</xdr:colOff>
      <xdr:row>7</xdr:row>
      <xdr:rowOff>67466</xdr:rowOff>
    </xdr:from>
    <xdr:to>
      <xdr:col>24</xdr:col>
      <xdr:colOff>580232</xdr:colOff>
      <xdr:row>23</xdr:row>
      <xdr:rowOff>10583</xdr:rowOff>
    </xdr:to>
    <xdr:graphicFrame macro="">
      <xdr:nvGraphicFramePr>
        <xdr:cNvPr id="3" name="Chart 2">
          <a:extLst>
            <a:ext uri="{FF2B5EF4-FFF2-40B4-BE49-F238E27FC236}">
              <a16:creationId xmlns:a16="http://schemas.microsoft.com/office/drawing/2014/main" id="{0F15629D-C3BE-46DC-BA4C-CFD8D3C63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31487</xdr:colOff>
      <xdr:row>23</xdr:row>
      <xdr:rowOff>55035</xdr:rowOff>
    </xdr:from>
    <xdr:to>
      <xdr:col>11</xdr:col>
      <xdr:colOff>525992</xdr:colOff>
      <xdr:row>47</xdr:row>
      <xdr:rowOff>142875</xdr:rowOff>
    </xdr:to>
    <xdr:graphicFrame macro="">
      <xdr:nvGraphicFramePr>
        <xdr:cNvPr id="4" name="Chart 3">
          <a:extLst>
            <a:ext uri="{FF2B5EF4-FFF2-40B4-BE49-F238E27FC236}">
              <a16:creationId xmlns:a16="http://schemas.microsoft.com/office/drawing/2014/main" id="{45D8D943-9658-4A85-BF97-87925A8F4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580493</xdr:colOff>
      <xdr:row>23</xdr:row>
      <xdr:rowOff>55033</xdr:rowOff>
    </xdr:from>
    <xdr:to>
      <xdr:col>24</xdr:col>
      <xdr:colOff>578907</xdr:colOff>
      <xdr:row>47</xdr:row>
      <xdr:rowOff>142874</xdr:rowOff>
    </xdr:to>
    <xdr:graphicFrame macro="">
      <xdr:nvGraphicFramePr>
        <xdr:cNvPr id="6" name="Chart 5">
          <a:extLst>
            <a:ext uri="{FF2B5EF4-FFF2-40B4-BE49-F238E27FC236}">
              <a16:creationId xmlns:a16="http://schemas.microsoft.com/office/drawing/2014/main" id="{1AE4AABB-6886-467E-87D8-6DFFE4547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31749</xdr:colOff>
      <xdr:row>0</xdr:row>
      <xdr:rowOff>104775</xdr:rowOff>
    </xdr:from>
    <xdr:to>
      <xdr:col>15</xdr:col>
      <xdr:colOff>596900</xdr:colOff>
      <xdr:row>37</xdr:row>
      <xdr:rowOff>57150</xdr:rowOff>
    </xdr:to>
    <xdr:sp macro="" textlink="">
      <xdr:nvSpPr>
        <xdr:cNvPr id="3" name="TextBox 2">
          <a:extLst>
            <a:ext uri="{FF2B5EF4-FFF2-40B4-BE49-F238E27FC236}">
              <a16:creationId xmlns:a16="http://schemas.microsoft.com/office/drawing/2014/main" id="{8262390D-78D3-70CA-7D4B-12273DF61DB6}"/>
            </a:ext>
          </a:extLst>
        </xdr:cNvPr>
        <xdr:cNvSpPr txBox="1"/>
      </xdr:nvSpPr>
      <xdr:spPr>
        <a:xfrm>
          <a:off x="641349" y="104775"/>
          <a:ext cx="9099551" cy="664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latin typeface="Aptos" panose="020B0004020202020204" pitchFamily="34" charset="0"/>
          </a:endParaRPr>
        </a:p>
        <a:p>
          <a:pPr algn="ctr"/>
          <a:r>
            <a:rPr lang="en-US" sz="1600" b="1">
              <a:latin typeface="Aptos" panose="020B0004020202020204" pitchFamily="34" charset="0"/>
            </a:rPr>
            <a:t>Insights &amp; Recommendation</a:t>
          </a:r>
        </a:p>
        <a:p>
          <a:endParaRPr lang="en-US" sz="1200">
            <a:latin typeface="Aptos" panose="020B0004020202020204" pitchFamily="34" charset="0"/>
          </a:endParaRPr>
        </a:p>
        <a:p>
          <a:r>
            <a:rPr lang="en-US" sz="1200">
              <a:latin typeface="Aptos" panose="020B0004020202020204" pitchFamily="34" charset="0"/>
            </a:rPr>
            <a:t>- Florida brought in about $3.93 million from 28,616 transactions, with each transaction averaging $137.34. </a:t>
          </a:r>
          <a:r>
            <a:rPr lang="en-US" sz="1200" baseline="0">
              <a:latin typeface="Aptos" panose="020B0004020202020204" pitchFamily="34" charset="0"/>
            </a:rPr>
            <a:t> </a:t>
          </a:r>
          <a:r>
            <a:rPr lang="en-US" sz="1200">
              <a:latin typeface="Aptos" panose="020B0004020202020204" pitchFamily="34" charset="0"/>
            </a:rPr>
            <a:t>Since customer spending is steady, boosting how often customers buy will have the biggest effect on revenue growth.</a:t>
          </a:r>
        </a:p>
        <a:p>
          <a:endParaRPr lang="en-US" sz="1200">
            <a:latin typeface="Aptos" panose="020B0004020202020204" pitchFamily="34" charset="0"/>
          </a:endParaRPr>
        </a:p>
        <a:p>
          <a:r>
            <a:rPr lang="en-US" sz="1200">
              <a:latin typeface="Aptos" panose="020B0004020202020204" pitchFamily="34" charset="0"/>
            </a:rPr>
            <a:t>- Monthly revenue has generally increased over the past three years, but there are ups and downs. Early on, growth was steady, while later months saw bigger jumps and higher peaks. Revenue still drops in some months, which suggests demand changes with timing or outside factors. </a:t>
          </a:r>
        </a:p>
        <a:p>
          <a:endParaRPr lang="en-US" sz="1200">
            <a:latin typeface="Aptos" panose="020B0004020202020204" pitchFamily="34" charset="0"/>
          </a:endParaRPr>
        </a:p>
        <a:p>
          <a:r>
            <a:rPr lang="en-US" sz="1200">
              <a:latin typeface="Aptos" panose="020B0004020202020204" pitchFamily="34" charset="0"/>
            </a:rPr>
            <a:t>- Technology &amp; Accessories brought in about $2.76 million, far more than any other category. Textbooks were next with around $706,000. This means Florida relies mostly on Technology &amp; Accessories for sales. </a:t>
          </a:r>
        </a:p>
        <a:p>
          <a:endParaRPr lang="en-US" sz="1200">
            <a:latin typeface="Aptos" panose="020B0004020202020204" pitchFamily="34" charset="0"/>
          </a:endParaRPr>
        </a:p>
        <a:p>
          <a:r>
            <a:rPr lang="en-US" sz="1200">
              <a:latin typeface="Aptos" panose="020B0004020202020204" pitchFamily="34" charset="0"/>
            </a:rPr>
            <a:t>-</a:t>
          </a:r>
          <a:r>
            <a:rPr lang="en-US" sz="1200" baseline="0">
              <a:latin typeface="Aptos" panose="020B0004020202020204" pitchFamily="34" charset="0"/>
            </a:rPr>
            <a:t> </a:t>
          </a:r>
          <a:r>
            <a:rPr lang="en-US" sz="1200">
              <a:latin typeface="Aptos" panose="020B0004020202020204" pitchFamily="34" charset="0"/>
            </a:rPr>
            <a:t>Store performance is different across locations. Miami leads with about $618,000 in revenue, followed by Tallahassee with around $541,000. Other stores make less but are close to each other in sales. This means a few top stores bring in most of the revenue. We should study what makes these stores successful, like their product mix or promotions, and use those ideas to help mid- and lower-performing stores such as Lakeland and Naples do better.</a:t>
          </a:r>
        </a:p>
        <a:p>
          <a:endParaRPr lang="en-US" sz="12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latin typeface="Aptos" panose="020B0004020202020204" pitchFamily="34" charset="0"/>
            </a:rPr>
            <a:t>Next quarter, let's put our sales efforts into the strongest areas in Florida, especially our top stores in Miami and Tallahassee, and the Technology &amp; Accessories category, which brings in most of our revenue. To keep these stores performing well, we need to make sure they have enough inventory, staff, and support. We should also focus on the Technology &amp; Accessories category by keeping it well-stocked, promoting it more, and planning our marketing around busy times. Even a small increase in this area could have a big impact overall.</a:t>
          </a:r>
        </a:p>
        <a:p>
          <a:endParaRPr lang="en-US" sz="12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Aptos" panose="020B0004020202020204" pitchFamily="34" charset="0"/>
              <a:ea typeface="+mn-ea"/>
              <a:cs typeface="+mn-cs"/>
            </a:rPr>
            <a:t>Stationery and Art Supplies bring in less revenue even though people buy them fairly often. This means customers are spending less each time they shop for these items. To help boost the average sale, I suggest offering bundle deals, like pairing books with stationery, or encouraging cross-selling at checkout.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Aptos" panose="020B00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Aptos" panose="020B0004020202020204" pitchFamily="34" charset="0"/>
              <a:ea typeface="+mn-ea"/>
              <a:cs typeface="+mn-cs"/>
            </a:rPr>
            <a:t>During low-performing months, stores should </a:t>
          </a:r>
          <a:r>
            <a:rPr lang="en-US" sz="1200">
              <a:solidFill>
                <a:schemeClr val="dk1"/>
              </a:solidFill>
              <a:effectLst/>
              <a:latin typeface="Aptos" panose="020B0004020202020204" pitchFamily="34" charset="0"/>
              <a:ea typeface="+mn-ea"/>
              <a:cs typeface="+mn-cs"/>
            </a:rPr>
            <a:t>implement</a:t>
          </a:r>
          <a:r>
            <a:rPr lang="en-US" sz="1200" baseline="0">
              <a:solidFill>
                <a:schemeClr val="dk1"/>
              </a:solidFill>
              <a:effectLst/>
              <a:latin typeface="Aptos" panose="020B0004020202020204" pitchFamily="34" charset="0"/>
              <a:ea typeface="+mn-ea"/>
              <a:cs typeface="+mn-cs"/>
            </a:rPr>
            <a:t> </a:t>
          </a:r>
          <a:r>
            <a:rPr lang="en-US" sz="1200">
              <a:solidFill>
                <a:schemeClr val="dk1"/>
              </a:solidFill>
              <a:effectLst/>
              <a:latin typeface="Aptos" panose="020B0004020202020204" pitchFamily="34" charset="0"/>
              <a:ea typeface="+mn-ea"/>
              <a:cs typeface="+mn-cs"/>
            </a:rPr>
            <a:t>targeted discounts or limited-time offers as this could help stabilize sales and reduce fluctuations.</a:t>
          </a:r>
          <a:r>
            <a:rPr lang="en-US" sz="1200" baseline="0">
              <a:solidFill>
                <a:schemeClr val="dk1"/>
              </a:solidFill>
              <a:effectLst/>
              <a:latin typeface="Aptos" panose="020B0004020202020204" pitchFamily="34" charset="0"/>
              <a:ea typeface="+mn-ea"/>
              <a:cs typeface="+mn-cs"/>
            </a:rPr>
            <a:t> </a:t>
          </a:r>
          <a:endParaRPr lang="en-US" sz="1200">
            <a:effectLst/>
            <a:latin typeface="Aptos" panose="020B0004020202020204" pitchFamily="34" charset="0"/>
          </a:endParaRPr>
        </a:p>
        <a:p>
          <a:endParaRPr lang="en-US" sz="1200">
            <a:latin typeface="Aptos" panose="020B0004020202020204" pitchFamily="34" charset="0"/>
          </a:endParaRPr>
        </a:p>
        <a:p>
          <a:r>
            <a:rPr lang="en-US" sz="1200">
              <a:latin typeface="Aptos" panose="020B0004020202020204" pitchFamily="34" charset="0"/>
            </a:rPr>
            <a:t>We should also work to increase transaction volume in all stores with marketing and promotions. To keep revenue steady during slower months, let’s use the same strategies that work during our busiest times. By building on our top revenue drivers, improving weaker spots, and evening out monthly ups and downs, Florida can stay ahead in the South and keep growing steadily.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101600</xdr:colOff>
      <xdr:row>1</xdr:row>
      <xdr:rowOff>63500</xdr:rowOff>
    </xdr:from>
    <xdr:to>
      <xdr:col>9</xdr:col>
      <xdr:colOff>552450</xdr:colOff>
      <xdr:row>13</xdr:row>
      <xdr:rowOff>161925</xdr:rowOff>
    </xdr:to>
    <xdr:sp macro="" textlink="">
      <xdr:nvSpPr>
        <xdr:cNvPr id="2" name="TextBox 1">
          <a:extLst>
            <a:ext uri="{FF2B5EF4-FFF2-40B4-BE49-F238E27FC236}">
              <a16:creationId xmlns:a16="http://schemas.microsoft.com/office/drawing/2014/main" id="{E26AA774-3EC1-F874-39D8-BD46ADFA162A}"/>
            </a:ext>
          </a:extLst>
        </xdr:cNvPr>
        <xdr:cNvSpPr txBox="1"/>
      </xdr:nvSpPr>
      <xdr:spPr>
        <a:xfrm>
          <a:off x="711200" y="244475"/>
          <a:ext cx="5327650" cy="227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latin typeface="Aptos" panose="020B0004020202020204" pitchFamily="34" charset="0"/>
          </a:endParaRPr>
        </a:p>
        <a:p>
          <a:pPr algn="ctr"/>
          <a:r>
            <a:rPr lang="en-US" sz="1200" b="1">
              <a:latin typeface="Aptos" panose="020B0004020202020204" pitchFamily="34" charset="0"/>
            </a:rPr>
            <a:t>Executiv</a:t>
          </a:r>
          <a:r>
            <a:rPr lang="en-US" sz="1200" b="1" baseline="0">
              <a:latin typeface="Aptos" panose="020B0004020202020204" pitchFamily="34" charset="0"/>
            </a:rPr>
            <a:t>e Summary</a:t>
          </a:r>
          <a:endParaRPr lang="en-US" sz="1200" b="1">
            <a:latin typeface="Aptos" panose="020B0004020202020204" pitchFamily="34" charset="0"/>
          </a:endParaRPr>
        </a:p>
        <a:p>
          <a:endParaRPr lang="en-US" sz="1200">
            <a:latin typeface="Aptos" panose="020B0004020202020204" pitchFamily="34" charset="0"/>
          </a:endParaRPr>
        </a:p>
        <a:p>
          <a:r>
            <a:rPr lang="en-US" sz="1200">
              <a:latin typeface="Aptos" panose="020B0004020202020204" pitchFamily="34" charset="0"/>
            </a:rPr>
            <a:t>The Florida territory generated approximately $3.93M in revenue, supported by strong transaction volume and led by high-performing stores and the Technology &amp; Accessories category.</a:t>
          </a:r>
          <a:r>
            <a:rPr lang="en-US" sz="1200" baseline="0">
              <a:latin typeface="Aptos" panose="020B0004020202020204" pitchFamily="34" charset="0"/>
            </a:rPr>
            <a:t> </a:t>
          </a:r>
          <a:r>
            <a:rPr lang="en-US" sz="1200">
              <a:latin typeface="Aptos" panose="020B0004020202020204" pitchFamily="34" charset="0"/>
            </a:rPr>
            <a:t>Although revenue grew overall, there were ups and downs from month to month, and some stores and categories did not perform as well as others. To keep growth steady, I suggest focusing sales efforts on the best-performing stores and categories, while also working to boost transaction volume and support areas that are not doing as well.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0</xdr:row>
      <xdr:rowOff>0</xdr:rowOff>
    </xdr:from>
    <xdr:to>
      <xdr:col>18</xdr:col>
      <xdr:colOff>257175</xdr:colOff>
      <xdr:row>14</xdr:row>
      <xdr:rowOff>161925</xdr:rowOff>
    </xdr:to>
    <xdr:graphicFrame macro="">
      <xdr:nvGraphicFramePr>
        <xdr:cNvPr id="2" name="Chart 1">
          <a:extLst>
            <a:ext uri="{FF2B5EF4-FFF2-40B4-BE49-F238E27FC236}">
              <a16:creationId xmlns:a16="http://schemas.microsoft.com/office/drawing/2014/main" id="{85B1449C-5DEF-9198-BDF8-94182D2E5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0</xdr:row>
      <xdr:rowOff>0</xdr:rowOff>
    </xdr:from>
    <xdr:to>
      <xdr:col>12</xdr:col>
      <xdr:colOff>0</xdr:colOff>
      <xdr:row>19</xdr:row>
      <xdr:rowOff>0</xdr:rowOff>
    </xdr:to>
    <xdr:graphicFrame macro="">
      <xdr:nvGraphicFramePr>
        <xdr:cNvPr id="2" name="Chart 1">
          <a:extLst>
            <a:ext uri="{FF2B5EF4-FFF2-40B4-BE49-F238E27FC236}">
              <a16:creationId xmlns:a16="http://schemas.microsoft.com/office/drawing/2014/main" id="{B709CCC3-C5AA-62A6-9369-67967EA83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6349</xdr:colOff>
      <xdr:row>0</xdr:row>
      <xdr:rowOff>0</xdr:rowOff>
    </xdr:from>
    <xdr:to>
      <xdr:col>15</xdr:col>
      <xdr:colOff>9524</xdr:colOff>
      <xdr:row>24</xdr:row>
      <xdr:rowOff>19050</xdr:rowOff>
    </xdr:to>
    <xdr:graphicFrame macro="">
      <xdr:nvGraphicFramePr>
        <xdr:cNvPr id="2" name="Chart 1">
          <a:extLst>
            <a:ext uri="{FF2B5EF4-FFF2-40B4-BE49-F238E27FC236}">
              <a16:creationId xmlns:a16="http://schemas.microsoft.com/office/drawing/2014/main" id="{BE219FB2-27C9-650F-FA51-2555D483E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600075</xdr:colOff>
      <xdr:row>0</xdr:row>
      <xdr:rowOff>0</xdr:rowOff>
    </xdr:from>
    <xdr:to>
      <xdr:col>12</xdr:col>
      <xdr:colOff>171450</xdr:colOff>
      <xdr:row>22</xdr:row>
      <xdr:rowOff>66675</xdr:rowOff>
    </xdr:to>
    <xdr:graphicFrame macro="">
      <xdr:nvGraphicFramePr>
        <xdr:cNvPr id="2" name="Chart 1">
          <a:extLst>
            <a:ext uri="{FF2B5EF4-FFF2-40B4-BE49-F238E27FC236}">
              <a16:creationId xmlns:a16="http://schemas.microsoft.com/office/drawing/2014/main" id="{1D716092-CD4B-7E34-DEDF-586D98FC7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9.654046990741" createdVersion="8" refreshedVersion="8" minRefreshableVersion="3" recordCount="48" xr:uid="{1F722571-7F37-4A57-8314-875D8AE0E377}">
  <cacheSource type="worksheet">
    <worksheetSource name="Table2"/>
  </cacheSource>
  <cacheFields count="2">
    <cacheField name="Sales_Month" numFmtId="0">
      <sharedItems count="48">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haredItems>
    </cacheField>
    <cacheField name="Monthly_Revenue" numFmtId="165">
      <sharedItems containsSemiMixedTypes="0" containsString="0" containsNumber="1" minValue="42839.1" maxValue="188215.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9.663430671295" createdVersion="8" refreshedVersion="8" minRefreshableVersion="3" recordCount="3" xr:uid="{072080FC-A326-4F17-883D-20A66EE271D6}">
  <cacheSource type="worksheet">
    <worksheetSource name="Table3"/>
  </cacheSource>
  <cacheFields count="3">
    <cacheField name="Region" numFmtId="0">
      <sharedItems count="1">
        <s v="South"/>
      </sharedItems>
    </cacheField>
    <cacheField name="State" numFmtId="0">
      <sharedItems count="3">
        <s v="Florida"/>
        <s v="Texas"/>
        <s v="South Carolina"/>
      </sharedItems>
    </cacheField>
    <cacheField name="Total_Revenue" numFmtId="165">
      <sharedItems containsSemiMixedTypes="0" containsString="0" containsNumber="1" minValue="648812.56000000006" maxValue="3930187.5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9.796859606482" createdVersion="8" refreshedVersion="8" minRefreshableVersion="3" recordCount="288" xr:uid="{BD81D109-0741-48D1-A670-392E82B02177}">
  <cacheSource type="worksheet">
    <worksheetSource name="Table4"/>
  </cacheSource>
  <cacheFields count="5">
    <cacheField name="Sales_Month" numFmtId="0">
      <sharedItems/>
    </cacheField>
    <cacheField name="Category" numFmtId="0">
      <sharedItems count="6">
        <s v="Technology &amp; Accessories"/>
        <s v="Textbooks"/>
        <s v="Art Supplies"/>
        <s v="Apparel and Merchandise"/>
        <s v="Stationery and Supplies"/>
        <s v="Books (General)"/>
      </sharedItems>
    </cacheField>
    <cacheField name="Total_Transactions" numFmtId="0">
      <sharedItems containsSemiMixedTypes="0" containsString="0" containsNumber="1" containsInteger="1" minValue="20" maxValue="315"/>
    </cacheField>
    <cacheField name="Average_Transaction_Size" numFmtId="165">
      <sharedItems containsSemiMixedTypes="0" containsString="0" containsNumber="1" minValue="9.1292340000000003" maxValue="540.52552800000001"/>
    </cacheField>
    <cacheField name="Total_Revenue" numFmtId="165">
      <sharedItems containsSemiMixedTypes="0" containsString="0" containsNumber="1" minValue="487.19" maxValue="144477.26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39.803059375001" createdVersion="8" refreshedVersion="8" minRefreshableVersion="3" recordCount="11" xr:uid="{3FDA7B28-59F3-4572-B88D-6442B5150B86}">
  <cacheSource type="worksheet">
    <worksheetSource name="Table5"/>
  </cacheSource>
  <cacheFields count="5">
    <cacheField name="Store_City" numFmtId="0">
      <sharedItems count="11">
        <s v="Miami"/>
        <s v="Tallahassee"/>
        <s v="Key West"/>
        <s v="Cape Canaveral"/>
        <s v="Jacksonville"/>
        <s v="Sebring"/>
        <s v="Tampa"/>
        <s v="Fort Lauderdale"/>
        <s v="Orlando"/>
        <s v="Lakeland"/>
        <s v="Naples"/>
      </sharedItems>
    </cacheField>
    <cacheField name="Store_ID" numFmtId="0">
      <sharedItems containsSemiMixedTypes="0" containsString="0" containsNumber="1" containsInteger="1" minValue="719" maxValue="729"/>
    </cacheField>
    <cacheField name="Total_Revenue" numFmtId="165">
      <sharedItems containsSemiMixedTypes="0" containsString="0" containsNumber="1" minValue="259602.83" maxValue="618846.25"/>
    </cacheField>
    <cacheField name="Total_Transactions" numFmtId="0">
      <sharedItems containsSemiMixedTypes="0" containsString="0" containsNumber="1" containsInteger="1" minValue="1937" maxValue="4457"/>
    </cacheField>
    <cacheField name="Average_Transaction_Size" numFmtId="165">
      <sharedItems containsSemiMixedTypes="0" containsString="0" containsNumber="1" minValue="125.38672699999999" maxValue="149.291036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48143.95"/>
  </r>
  <r>
    <x v="1"/>
    <n v="46257.35"/>
  </r>
  <r>
    <x v="2"/>
    <n v="53541.25"/>
  </r>
  <r>
    <x v="3"/>
    <n v="49505.25"/>
  </r>
  <r>
    <x v="4"/>
    <n v="58326.64"/>
  </r>
  <r>
    <x v="5"/>
    <n v="48683.24"/>
  </r>
  <r>
    <x v="6"/>
    <n v="57545.77"/>
  </r>
  <r>
    <x v="7"/>
    <n v="48656.98"/>
  </r>
  <r>
    <x v="8"/>
    <n v="42839.1"/>
  </r>
  <r>
    <x v="9"/>
    <n v="49508.42"/>
  </r>
  <r>
    <x v="10"/>
    <n v="44519.86"/>
  </r>
  <r>
    <x v="11"/>
    <n v="50885.58"/>
  </r>
  <r>
    <x v="12"/>
    <n v="70589.710000000006"/>
  </r>
  <r>
    <x v="13"/>
    <n v="74547.62"/>
  </r>
  <r>
    <x v="14"/>
    <n v="71490.8"/>
  </r>
  <r>
    <x v="15"/>
    <n v="71671.429999999993"/>
  </r>
  <r>
    <x v="16"/>
    <n v="76942.62"/>
  </r>
  <r>
    <x v="17"/>
    <n v="75958.75"/>
  </r>
  <r>
    <x v="18"/>
    <n v="74438.539999999994"/>
  </r>
  <r>
    <x v="19"/>
    <n v="71626.47"/>
  </r>
  <r>
    <x v="20"/>
    <n v="86388.39"/>
  </r>
  <r>
    <x v="21"/>
    <n v="76570.52"/>
  </r>
  <r>
    <x v="22"/>
    <n v="81150.820000000007"/>
  </r>
  <r>
    <x v="23"/>
    <n v="85799"/>
  </r>
  <r>
    <x v="24"/>
    <n v="83362.33"/>
  </r>
  <r>
    <x v="25"/>
    <n v="65035.27"/>
  </r>
  <r>
    <x v="26"/>
    <n v="73851.009999999995"/>
  </r>
  <r>
    <x v="27"/>
    <n v="74763.039999999994"/>
  </r>
  <r>
    <x v="28"/>
    <n v="78325.77"/>
  </r>
  <r>
    <x v="29"/>
    <n v="72071.520000000004"/>
  </r>
  <r>
    <x v="30"/>
    <n v="71626.47"/>
  </r>
  <r>
    <x v="31"/>
    <n v="90013.08"/>
  </r>
  <r>
    <x v="32"/>
    <n v="72945.83"/>
  </r>
  <r>
    <x v="33"/>
    <n v="83388.679999999993"/>
  </r>
  <r>
    <x v="34"/>
    <n v="83561.14"/>
  </r>
  <r>
    <x v="35"/>
    <n v="70589.710000000006"/>
  </r>
  <r>
    <x v="36"/>
    <n v="118654.88"/>
  </r>
  <r>
    <x v="37"/>
    <n v="105056.57"/>
  </r>
  <r>
    <x v="38"/>
    <n v="108664.43"/>
  </r>
  <r>
    <x v="39"/>
    <n v="117732.51"/>
  </r>
  <r>
    <x v="40"/>
    <n v="125169.68"/>
  </r>
  <r>
    <x v="41"/>
    <n v="101328.59"/>
  </r>
  <r>
    <x v="42"/>
    <n v="137940.04999999999"/>
  </r>
  <r>
    <x v="43"/>
    <n v="129936.53"/>
  </r>
  <r>
    <x v="44"/>
    <n v="106935.33"/>
  </r>
  <r>
    <x v="45"/>
    <n v="188215.96"/>
  </r>
  <r>
    <x v="46"/>
    <n v="133022.84"/>
  </r>
  <r>
    <x v="47"/>
    <n v="122408.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3930187.55"/>
  </r>
  <r>
    <x v="0"/>
    <x v="1"/>
    <n v="3417850.01"/>
  </r>
  <r>
    <x v="0"/>
    <x v="2"/>
    <n v="648812.560000000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s v="2022-01"/>
    <x v="0"/>
    <n v="75"/>
    <n v="435.44920000000002"/>
    <n v="32658.69"/>
  </r>
  <r>
    <s v="2022-01"/>
    <x v="1"/>
    <n v="61"/>
    <n v="168.64442600000001"/>
    <n v="10287.31"/>
  </r>
  <r>
    <s v="2022-01"/>
    <x v="2"/>
    <n v="63"/>
    <n v="31.66"/>
    <n v="1994.58"/>
  </r>
  <r>
    <s v="2022-01"/>
    <x v="3"/>
    <n v="66"/>
    <n v="30.010455"/>
    <n v="1980.69"/>
  </r>
  <r>
    <s v="2022-01"/>
    <x v="4"/>
    <n v="69"/>
    <n v="9.7040579999999999"/>
    <n v="669.58"/>
  </r>
  <r>
    <s v="2022-01"/>
    <x v="5"/>
    <n v="20"/>
    <n v="27.655000000000001"/>
    <n v="553.1"/>
  </r>
  <r>
    <s v="2022-02"/>
    <x v="0"/>
    <n v="78"/>
    <n v="420.10384599999998"/>
    <n v="32768.1"/>
  </r>
  <r>
    <s v="2022-02"/>
    <x v="1"/>
    <n v="46"/>
    <n v="169.154348"/>
    <n v="7781.1"/>
  </r>
  <r>
    <s v="2022-02"/>
    <x v="3"/>
    <n v="61"/>
    <n v="33.124262000000002"/>
    <n v="2020.58"/>
  </r>
  <r>
    <s v="2022-02"/>
    <x v="2"/>
    <n v="61"/>
    <n v="30.586393000000001"/>
    <n v="1865.77"/>
  </r>
  <r>
    <s v="2022-02"/>
    <x v="5"/>
    <n v="36"/>
    <n v="27.37"/>
    <n v="985.32"/>
  </r>
  <r>
    <s v="2022-02"/>
    <x v="4"/>
    <n v="72"/>
    <n v="11.617777999999999"/>
    <n v="836.48"/>
  </r>
  <r>
    <s v="2022-03"/>
    <x v="0"/>
    <n v="77"/>
    <n v="478.65662300000002"/>
    <n v="36856.559999999998"/>
  </r>
  <r>
    <s v="2022-03"/>
    <x v="1"/>
    <n v="68"/>
    <n v="177.76"/>
    <n v="12087.68"/>
  </r>
  <r>
    <s v="2022-03"/>
    <x v="2"/>
    <n v="60"/>
    <n v="30.407"/>
    <n v="1824.42"/>
  </r>
  <r>
    <s v="2022-03"/>
    <x v="3"/>
    <n v="53"/>
    <n v="31.456037999999999"/>
    <n v="1667.17"/>
  </r>
  <r>
    <s v="2022-03"/>
    <x v="4"/>
    <n v="62"/>
    <n v="9.9714519999999993"/>
    <n v="618.23"/>
  </r>
  <r>
    <s v="2022-03"/>
    <x v="5"/>
    <n v="20"/>
    <n v="24.359500000000001"/>
    <n v="487.19"/>
  </r>
  <r>
    <s v="2022-04"/>
    <x v="0"/>
    <n v="80"/>
    <n v="408.73824999999999"/>
    <n v="32699.06"/>
  </r>
  <r>
    <s v="2022-04"/>
    <x v="1"/>
    <n v="65"/>
    <n v="184.26446200000001"/>
    <n v="11977.19"/>
  </r>
  <r>
    <s v="2022-04"/>
    <x v="2"/>
    <n v="61"/>
    <n v="29.305738000000002"/>
    <n v="1787.65"/>
  </r>
  <r>
    <s v="2022-04"/>
    <x v="3"/>
    <n v="59"/>
    <n v="29.155085"/>
    <n v="1720.15"/>
  </r>
  <r>
    <s v="2022-04"/>
    <x v="4"/>
    <n v="71"/>
    <n v="9.8298590000000008"/>
    <n v="697.92"/>
  </r>
  <r>
    <s v="2022-04"/>
    <x v="5"/>
    <n v="21"/>
    <n v="29.68"/>
    <n v="623.28"/>
  </r>
  <r>
    <s v="2022-05"/>
    <x v="0"/>
    <n v="81"/>
    <n v="457.03691400000002"/>
    <n v="37019.99"/>
  </r>
  <r>
    <s v="2022-05"/>
    <x v="1"/>
    <n v="85"/>
    <n v="185.305294"/>
    <n v="15750.95"/>
  </r>
  <r>
    <s v="2022-05"/>
    <x v="3"/>
    <n v="63"/>
    <n v="32.503650999999998"/>
    <n v="2047.73"/>
  </r>
  <r>
    <s v="2022-05"/>
    <x v="2"/>
    <n v="67"/>
    <n v="29.019103999999999"/>
    <n v="1944.28"/>
  </r>
  <r>
    <s v="2022-05"/>
    <x v="5"/>
    <n v="29"/>
    <n v="27.174137999999999"/>
    <n v="788.05"/>
  </r>
  <r>
    <s v="2022-05"/>
    <x v="4"/>
    <n v="78"/>
    <n v="9.9441030000000001"/>
    <n v="775.64"/>
  </r>
  <r>
    <s v="2022-06"/>
    <x v="0"/>
    <n v="77"/>
    <n v="388.17779200000001"/>
    <n v="29889.69"/>
  </r>
  <r>
    <s v="2022-06"/>
    <x v="1"/>
    <n v="73"/>
    <n v="181.93041099999999"/>
    <n v="13280.92"/>
  </r>
  <r>
    <s v="2022-06"/>
    <x v="2"/>
    <n v="76"/>
    <n v="28.497631999999999"/>
    <n v="2165.8200000000002"/>
  </r>
  <r>
    <s v="2022-06"/>
    <x v="3"/>
    <n v="63"/>
    <n v="34.309047999999997"/>
    <n v="2161.4699999999998"/>
  </r>
  <r>
    <s v="2022-06"/>
    <x v="5"/>
    <n v="25"/>
    <n v="23.934799999999999"/>
    <n v="598.37"/>
  </r>
  <r>
    <s v="2022-06"/>
    <x v="4"/>
    <n v="60"/>
    <n v="9.7828330000000001"/>
    <n v="586.97"/>
  </r>
  <r>
    <s v="2022-07"/>
    <x v="0"/>
    <n v="84"/>
    <n v="471.22607099999999"/>
    <n v="39582.99"/>
  </r>
  <r>
    <s v="2022-07"/>
    <x v="1"/>
    <n v="73"/>
    <n v="183.663836"/>
    <n v="13407.46"/>
  </r>
  <r>
    <s v="2022-07"/>
    <x v="3"/>
    <n v="52"/>
    <n v="30.252500000000001"/>
    <n v="1573.13"/>
  </r>
  <r>
    <s v="2022-07"/>
    <x v="2"/>
    <n v="52"/>
    <n v="27.906538000000001"/>
    <n v="1451.14"/>
  </r>
  <r>
    <s v="2022-07"/>
    <x v="5"/>
    <n v="33"/>
    <n v="23.261514999999999"/>
    <n v="767.63"/>
  </r>
  <r>
    <s v="2022-07"/>
    <x v="4"/>
    <n v="73"/>
    <n v="10.457808"/>
    <n v="763.42"/>
  </r>
  <r>
    <s v="2022-08"/>
    <x v="0"/>
    <n v="65"/>
    <n v="466.49784599999998"/>
    <n v="30322.36"/>
  </r>
  <r>
    <s v="2022-08"/>
    <x v="1"/>
    <n v="71"/>
    <n v="188.96619699999999"/>
    <n v="13416.6"/>
  </r>
  <r>
    <s v="2022-08"/>
    <x v="3"/>
    <n v="60"/>
    <n v="32.794499999999999"/>
    <n v="1967.67"/>
  </r>
  <r>
    <s v="2022-08"/>
    <x v="2"/>
    <n v="48"/>
    <n v="29.458124999999999"/>
    <n v="1413.99"/>
  </r>
  <r>
    <s v="2022-08"/>
    <x v="5"/>
    <n v="33"/>
    <n v="26.772424000000001"/>
    <n v="883.49"/>
  </r>
  <r>
    <s v="2022-08"/>
    <x v="4"/>
    <n v="69"/>
    <n v="9.4618839999999995"/>
    <n v="652.87"/>
  </r>
  <r>
    <s v="2022-09"/>
    <x v="0"/>
    <n v="65"/>
    <n v="350.95400000000001"/>
    <n v="22812.01"/>
  </r>
  <r>
    <s v="2022-09"/>
    <x v="1"/>
    <n v="81"/>
    <n v="188.43851900000001"/>
    <n v="15263.52"/>
  </r>
  <r>
    <s v="2022-09"/>
    <x v="3"/>
    <n v="63"/>
    <n v="30.616983999999999"/>
    <n v="1928.87"/>
  </r>
  <r>
    <s v="2022-09"/>
    <x v="2"/>
    <n v="55"/>
    <n v="26.941091"/>
    <n v="1481.76"/>
  </r>
  <r>
    <s v="2022-09"/>
    <x v="5"/>
    <n v="28"/>
    <n v="26.572143000000001"/>
    <n v="744.02"/>
  </r>
  <r>
    <s v="2022-09"/>
    <x v="4"/>
    <n v="56"/>
    <n v="10.873571"/>
    <n v="608.91999999999996"/>
  </r>
  <r>
    <s v="2022-10"/>
    <x v="0"/>
    <n v="72"/>
    <n v="432.541944"/>
    <n v="31143.02"/>
  </r>
  <r>
    <s v="2022-10"/>
    <x v="1"/>
    <n v="72"/>
    <n v="190.625833"/>
    <n v="13725.06"/>
  </r>
  <r>
    <s v="2022-10"/>
    <x v="2"/>
    <n v="58"/>
    <n v="29.024999999999999"/>
    <n v="1683.45"/>
  </r>
  <r>
    <s v="2022-10"/>
    <x v="3"/>
    <n v="50"/>
    <n v="31.027200000000001"/>
    <n v="1551.36"/>
  </r>
  <r>
    <s v="2022-10"/>
    <x v="5"/>
    <n v="29"/>
    <n v="27.247585999999998"/>
    <n v="790.18"/>
  </r>
  <r>
    <s v="2022-10"/>
    <x v="4"/>
    <n v="67"/>
    <n v="9.1843280000000007"/>
    <n v="615.35"/>
  </r>
  <r>
    <s v="2022-11"/>
    <x v="0"/>
    <n v="64"/>
    <n v="427.30921899999998"/>
    <n v="27347.79"/>
  </r>
  <r>
    <s v="2022-11"/>
    <x v="1"/>
    <n v="68"/>
    <n v="190.85823500000001"/>
    <n v="12978.36"/>
  </r>
  <r>
    <s v="2022-11"/>
    <x v="3"/>
    <n v="53"/>
    <n v="27.844151"/>
    <n v="1475.74"/>
  </r>
  <r>
    <s v="2022-11"/>
    <x v="2"/>
    <n v="50"/>
    <n v="27.888200000000001"/>
    <n v="1394.41"/>
  </r>
  <r>
    <s v="2022-11"/>
    <x v="4"/>
    <n v="69"/>
    <n v="10.131449"/>
    <n v="699.07"/>
  </r>
  <r>
    <s v="2022-11"/>
    <x v="5"/>
    <n v="26"/>
    <n v="24.018846"/>
    <n v="624.49"/>
  </r>
  <r>
    <s v="2022-12"/>
    <x v="0"/>
    <n v="77"/>
    <n v="433.83935100000002"/>
    <n v="33405.629999999997"/>
  </r>
  <r>
    <s v="2022-12"/>
    <x v="1"/>
    <n v="66"/>
    <n v="179.496364"/>
    <n v="11846.76"/>
  </r>
  <r>
    <s v="2022-12"/>
    <x v="3"/>
    <n v="72"/>
    <n v="30.965"/>
    <n v="2229.48"/>
  </r>
  <r>
    <s v="2022-12"/>
    <x v="2"/>
    <n v="68"/>
    <n v="27.675440999999999"/>
    <n v="1881.93"/>
  </r>
  <r>
    <s v="2022-12"/>
    <x v="5"/>
    <n v="23"/>
    <n v="37.113912999999997"/>
    <n v="853.62"/>
  </r>
  <r>
    <s v="2022-12"/>
    <x v="4"/>
    <n v="65"/>
    <n v="10.279385"/>
    <n v="668.16"/>
  </r>
  <r>
    <s v="2023-01"/>
    <x v="0"/>
    <n v="110"/>
    <n v="447.18881800000003"/>
    <n v="49190.77"/>
  </r>
  <r>
    <s v="2023-01"/>
    <x v="1"/>
    <n v="71"/>
    <n v="172.51253500000001"/>
    <n v="12248.39"/>
  </r>
  <r>
    <s v="2023-01"/>
    <x v="3"/>
    <n v="103"/>
    <n v="34.370776999999997"/>
    <n v="3540.19"/>
  </r>
  <r>
    <s v="2023-01"/>
    <x v="2"/>
    <n v="96"/>
    <n v="34.249375000000001"/>
    <n v="3287.94"/>
  </r>
  <r>
    <s v="2023-01"/>
    <x v="5"/>
    <n v="41"/>
    <n v="29.594878000000001"/>
    <n v="1213.3900000000001"/>
  </r>
  <r>
    <s v="2023-01"/>
    <x v="4"/>
    <n v="110"/>
    <n v="10.082091"/>
    <n v="1109.03"/>
  </r>
  <r>
    <s v="2023-02"/>
    <x v="0"/>
    <n v="113"/>
    <n v="470.02123899999998"/>
    <n v="53112.4"/>
  </r>
  <r>
    <s v="2023-02"/>
    <x v="1"/>
    <n v="74"/>
    <n v="173.92297300000001"/>
    <n v="12870.3"/>
  </r>
  <r>
    <s v="2023-02"/>
    <x v="3"/>
    <n v="108"/>
    <n v="34.614074000000002"/>
    <n v="3738.32"/>
  </r>
  <r>
    <s v="2023-02"/>
    <x v="2"/>
    <n v="82"/>
    <n v="31.107073"/>
    <n v="2550.7800000000002"/>
  </r>
  <r>
    <s v="2023-02"/>
    <x v="5"/>
    <n v="35"/>
    <n v="33.947429"/>
    <n v="1188.1600000000001"/>
  </r>
  <r>
    <s v="2023-02"/>
    <x v="4"/>
    <n v="109"/>
    <n v="9.9785319999999995"/>
    <n v="1087.6600000000001"/>
  </r>
  <r>
    <s v="2023-03"/>
    <x v="0"/>
    <n v="120"/>
    <n v="442.573667"/>
    <n v="53108.84"/>
  </r>
  <r>
    <s v="2023-03"/>
    <x v="1"/>
    <n v="63"/>
    <n v="161.726349"/>
    <n v="10188.76"/>
  </r>
  <r>
    <s v="2023-03"/>
    <x v="3"/>
    <n v="99"/>
    <n v="35.966566"/>
    <n v="3560.69"/>
  </r>
  <r>
    <s v="2023-03"/>
    <x v="2"/>
    <n v="75"/>
    <n v="31.812132999999999"/>
    <n v="2385.91"/>
  </r>
  <r>
    <s v="2023-03"/>
    <x v="5"/>
    <n v="45"/>
    <n v="26.637778000000001"/>
    <n v="1198.7"/>
  </r>
  <r>
    <s v="2023-03"/>
    <x v="4"/>
    <n v="103"/>
    <n v="10.173786"/>
    <n v="1047.9000000000001"/>
  </r>
  <r>
    <s v="2023-04"/>
    <x v="0"/>
    <n v="121"/>
    <n v="396.99694199999999"/>
    <n v="48036.63"/>
  </r>
  <r>
    <s v="2023-04"/>
    <x v="1"/>
    <n v="86"/>
    <n v="168.60069799999999"/>
    <n v="14499.66"/>
  </r>
  <r>
    <s v="2023-04"/>
    <x v="3"/>
    <n v="120"/>
    <n v="34.265082999999997"/>
    <n v="4111.8100000000004"/>
  </r>
  <r>
    <s v="2023-04"/>
    <x v="2"/>
    <n v="70"/>
    <n v="33.374285999999998"/>
    <n v="2336.1999999999998"/>
  </r>
  <r>
    <s v="2023-04"/>
    <x v="5"/>
    <n v="55"/>
    <n v="29.227454999999999"/>
    <n v="1607.51"/>
  </r>
  <r>
    <s v="2023-04"/>
    <x v="4"/>
    <n v="115"/>
    <n v="9.3879999999999999"/>
    <n v="1079.6199999999999"/>
  </r>
  <r>
    <s v="2023-05"/>
    <x v="0"/>
    <n v="120"/>
    <n v="470.17416700000001"/>
    <n v="56420.9"/>
  </r>
  <r>
    <s v="2023-05"/>
    <x v="1"/>
    <n v="72"/>
    <n v="168.733056"/>
    <n v="12148.78"/>
  </r>
  <r>
    <s v="2023-05"/>
    <x v="3"/>
    <n v="104"/>
    <n v="34.508172999999999"/>
    <n v="3588.85"/>
  </r>
  <r>
    <s v="2023-05"/>
    <x v="2"/>
    <n v="71"/>
    <n v="35.035210999999997"/>
    <n v="2487.5"/>
  </r>
  <r>
    <s v="2023-05"/>
    <x v="4"/>
    <n v="121"/>
    <n v="9.7542980000000004"/>
    <n v="1180.27"/>
  </r>
  <r>
    <s v="2023-05"/>
    <x v="5"/>
    <n v="40"/>
    <n v="27.908000000000001"/>
    <n v="1116.32"/>
  </r>
  <r>
    <s v="2023-06"/>
    <x v="0"/>
    <n v="105"/>
    <n v="484.47333300000003"/>
    <n v="50869.7"/>
  </r>
  <r>
    <s v="2023-06"/>
    <x v="1"/>
    <n v="98"/>
    <n v="162.45898"/>
    <n v="15920.98"/>
  </r>
  <r>
    <s v="2023-06"/>
    <x v="2"/>
    <n v="93"/>
    <n v="36.498494999999998"/>
    <n v="3394.36"/>
  </r>
  <r>
    <s v="2023-06"/>
    <x v="3"/>
    <n v="104"/>
    <n v="30.572692"/>
    <n v="3179.56"/>
  </r>
  <r>
    <s v="2023-06"/>
    <x v="5"/>
    <n v="47"/>
    <n v="29.500851000000001"/>
    <n v="1386.54"/>
  </r>
  <r>
    <s v="2023-06"/>
    <x v="4"/>
    <n v="125"/>
    <n v="9.6608800000000006"/>
    <n v="1207.6099999999999"/>
  </r>
  <r>
    <s v="2023-07"/>
    <x v="0"/>
    <n v="111"/>
    <n v="439.005315"/>
    <n v="48729.59"/>
  </r>
  <r>
    <s v="2023-07"/>
    <x v="1"/>
    <n v="93"/>
    <n v="175.345269"/>
    <n v="16307.11"/>
  </r>
  <r>
    <s v="2023-07"/>
    <x v="3"/>
    <n v="112"/>
    <n v="33.859464000000003"/>
    <n v="3792.26"/>
  </r>
  <r>
    <s v="2023-07"/>
    <x v="2"/>
    <n v="80"/>
    <n v="32.976374999999997"/>
    <n v="2638.11"/>
  </r>
  <r>
    <s v="2023-07"/>
    <x v="5"/>
    <n v="55"/>
    <n v="32.602908999999997"/>
    <n v="1793.16"/>
  </r>
  <r>
    <s v="2023-07"/>
    <x v="4"/>
    <n v="119"/>
    <n v="9.9017649999999993"/>
    <n v="1178.31"/>
  </r>
  <r>
    <s v="2023-08"/>
    <x v="0"/>
    <n v="114"/>
    <n v="389.28578900000002"/>
    <n v="44378.58"/>
  </r>
  <r>
    <s v="2023-08"/>
    <x v="1"/>
    <n v="109"/>
    <n v="176.66889900000001"/>
    <n v="19256.91"/>
  </r>
  <r>
    <s v="2023-08"/>
    <x v="3"/>
    <n v="118"/>
    <n v="30.590847"/>
    <n v="3609.72"/>
  </r>
  <r>
    <s v="2023-08"/>
    <x v="2"/>
    <n v="72"/>
    <n v="30.958472"/>
    <n v="2229.0100000000002"/>
  </r>
  <r>
    <s v="2023-08"/>
    <x v="4"/>
    <n v="110"/>
    <n v="10.359636"/>
    <n v="1139.56"/>
  </r>
  <r>
    <s v="2023-08"/>
    <x v="5"/>
    <n v="39"/>
    <n v="25.96641"/>
    <n v="1012.69"/>
  </r>
  <r>
    <s v="2023-09"/>
    <x v="0"/>
    <n v="132"/>
    <n v="471.52295500000002"/>
    <n v="62241.03"/>
  </r>
  <r>
    <s v="2023-09"/>
    <x v="1"/>
    <n v="92"/>
    <n v="183.88423900000001"/>
    <n v="16917.349999999999"/>
  </r>
  <r>
    <s v="2023-09"/>
    <x v="3"/>
    <n v="102"/>
    <n v="29.877941"/>
    <n v="3047.55"/>
  </r>
  <r>
    <s v="2023-09"/>
    <x v="2"/>
    <n v="69"/>
    <n v="26.858405999999999"/>
    <n v="1853.23"/>
  </r>
  <r>
    <s v="2023-09"/>
    <x v="5"/>
    <n v="49"/>
    <n v="24.243265000000001"/>
    <n v="1187.92"/>
  </r>
  <r>
    <s v="2023-09"/>
    <x v="4"/>
    <n v="105"/>
    <n v="10.869619"/>
    <n v="1141.31"/>
  </r>
  <r>
    <s v="2023-10"/>
    <x v="0"/>
    <n v="105"/>
    <n v="512.38009499999998"/>
    <n v="53799.91"/>
  </r>
  <r>
    <s v="2023-10"/>
    <x v="1"/>
    <n v="85"/>
    <n v="173.77223499999999"/>
    <n v="14770.64"/>
  </r>
  <r>
    <s v="2023-10"/>
    <x v="3"/>
    <n v="100"/>
    <n v="33.619199999999999"/>
    <n v="3361.92"/>
  </r>
  <r>
    <s v="2023-10"/>
    <x v="2"/>
    <n v="83"/>
    <n v="29.011565999999998"/>
    <n v="2407.96"/>
  </r>
  <r>
    <s v="2023-10"/>
    <x v="5"/>
    <n v="41"/>
    <n v="30.208293000000001"/>
    <n v="1238.54"/>
  </r>
  <r>
    <s v="2023-10"/>
    <x v="4"/>
    <n v="106"/>
    <n v="9.3542450000000006"/>
    <n v="991.55"/>
  </r>
  <r>
    <s v="2023-11"/>
    <x v="0"/>
    <n v="120"/>
    <n v="470.76483300000001"/>
    <n v="56491.78"/>
  </r>
  <r>
    <s v="2023-11"/>
    <x v="1"/>
    <n v="99"/>
    <n v="173.39363599999999"/>
    <n v="17165.97"/>
  </r>
  <r>
    <s v="2023-11"/>
    <x v="3"/>
    <n v="103"/>
    <n v="30.892620999999998"/>
    <n v="3181.94"/>
  </r>
  <r>
    <s v="2023-11"/>
    <x v="2"/>
    <n v="66"/>
    <n v="26.473635999999999"/>
    <n v="1747.26"/>
  </r>
  <r>
    <s v="2023-11"/>
    <x v="5"/>
    <n v="46"/>
    <n v="30.588042999999999"/>
    <n v="1407.05"/>
  </r>
  <r>
    <s v="2023-11"/>
    <x v="4"/>
    <n v="118"/>
    <n v="9.8035589999999999"/>
    <n v="1156.82"/>
  </r>
  <r>
    <s v="2023-12"/>
    <x v="0"/>
    <n v="126"/>
    <n v="467.506508"/>
    <n v="58905.82"/>
  </r>
  <r>
    <s v="2023-12"/>
    <x v="1"/>
    <n v="110"/>
    <n v="176.694818"/>
    <n v="19436.43"/>
  </r>
  <r>
    <s v="2023-12"/>
    <x v="3"/>
    <n v="82"/>
    <n v="32.981462999999998"/>
    <n v="2704.48"/>
  </r>
  <r>
    <s v="2023-12"/>
    <x v="2"/>
    <n v="92"/>
    <n v="26.975109"/>
    <n v="2481.71"/>
  </r>
  <r>
    <s v="2023-12"/>
    <x v="5"/>
    <n v="47"/>
    <n v="25.538084999999999"/>
    <n v="1200.29"/>
  </r>
  <r>
    <s v="2023-12"/>
    <x v="4"/>
    <n v="104"/>
    <n v="10.291058"/>
    <n v="1070.27"/>
  </r>
  <r>
    <s v="2024-01"/>
    <x v="0"/>
    <n v="124"/>
    <n v="478.33290299999999"/>
    <n v="59313.279999999999"/>
  </r>
  <r>
    <s v="2024-01"/>
    <x v="1"/>
    <n v="83"/>
    <n v="174.69301200000001"/>
    <n v="14499.52"/>
  </r>
  <r>
    <s v="2024-01"/>
    <x v="3"/>
    <n v="123"/>
    <n v="34.969593000000003"/>
    <n v="4301.26"/>
  </r>
  <r>
    <s v="2024-01"/>
    <x v="2"/>
    <n v="87"/>
    <n v="31.717471"/>
    <n v="2759.42"/>
  </r>
  <r>
    <s v="2024-01"/>
    <x v="5"/>
    <n v="40"/>
    <n v="33.811750000000004"/>
    <n v="1352.47"/>
  </r>
  <r>
    <s v="2024-01"/>
    <x v="4"/>
    <n v="117"/>
    <n v="9.71265"/>
    <n v="1136.3800000000001"/>
  </r>
  <r>
    <s v="2024-02"/>
    <x v="0"/>
    <n v="112"/>
    <n v="431.87089300000002"/>
    <n v="48369.54"/>
  </r>
  <r>
    <s v="2024-02"/>
    <x v="1"/>
    <n v="57"/>
    <n v="161.53894700000001"/>
    <n v="9207.7199999999993"/>
  </r>
  <r>
    <s v="2024-02"/>
    <x v="3"/>
    <n v="87"/>
    <n v="35.796436999999997"/>
    <n v="3114.29"/>
  </r>
  <r>
    <s v="2024-02"/>
    <x v="2"/>
    <n v="72"/>
    <n v="31.209582999999999"/>
    <n v="2247.09"/>
  </r>
  <r>
    <s v="2024-02"/>
    <x v="5"/>
    <n v="41"/>
    <n v="25.72561"/>
    <n v="1054.75"/>
  </r>
  <r>
    <s v="2024-02"/>
    <x v="4"/>
    <n v="102"/>
    <n v="10.214510000000001"/>
    <n v="1041.8800000000001"/>
  </r>
  <r>
    <s v="2024-03"/>
    <x v="0"/>
    <n v="124"/>
    <n v="395.477419"/>
    <n v="49039.199999999997"/>
  </r>
  <r>
    <s v="2024-03"/>
    <x v="1"/>
    <n v="91"/>
    <n v="168.80197799999999"/>
    <n v="15360.98"/>
  </r>
  <r>
    <s v="2024-03"/>
    <x v="3"/>
    <n v="122"/>
    <n v="34.472048999999998"/>
    <n v="4205.59"/>
  </r>
  <r>
    <s v="2024-03"/>
    <x v="2"/>
    <n v="74"/>
    <n v="34.202838"/>
    <n v="2531.0100000000002"/>
  </r>
  <r>
    <s v="2024-03"/>
    <x v="5"/>
    <n v="55"/>
    <n v="29.227454999999999"/>
    <n v="1607.51"/>
  </r>
  <r>
    <s v="2024-03"/>
    <x v="4"/>
    <n v="118"/>
    <n v="9.3789829999999998"/>
    <n v="1106.72"/>
  </r>
  <r>
    <s v="2024-04"/>
    <x v="0"/>
    <n v="117"/>
    <n v="473.66093999999998"/>
    <n v="55418.33"/>
  </r>
  <r>
    <s v="2024-04"/>
    <x v="1"/>
    <n v="67"/>
    <n v="168.46955199999999"/>
    <n v="11287.46"/>
  </r>
  <r>
    <s v="2024-04"/>
    <x v="3"/>
    <n v="102"/>
    <n v="34.265391999999999"/>
    <n v="3495.07"/>
  </r>
  <r>
    <s v="2024-04"/>
    <x v="2"/>
    <n v="67"/>
    <n v="34.219253999999999"/>
    <n v="2292.69"/>
  </r>
  <r>
    <s v="2024-04"/>
    <x v="4"/>
    <n v="118"/>
    <n v="9.772627"/>
    <n v="1153.17"/>
  </r>
  <r>
    <s v="2024-04"/>
    <x v="5"/>
    <n v="40"/>
    <n v="27.908000000000001"/>
    <n v="1116.32"/>
  </r>
  <r>
    <s v="2024-05"/>
    <x v="0"/>
    <n v="108"/>
    <n v="482.59768500000001"/>
    <n v="52120.55"/>
  </r>
  <r>
    <s v="2024-05"/>
    <x v="1"/>
    <n v="104"/>
    <n v="161.429135"/>
    <n v="16788.63"/>
  </r>
  <r>
    <s v="2024-05"/>
    <x v="2"/>
    <n v="94"/>
    <n v="36.662979"/>
    <n v="3446.32"/>
  </r>
  <r>
    <s v="2024-05"/>
    <x v="3"/>
    <n v="107"/>
    <n v="31.280934999999999"/>
    <n v="3347.06"/>
  </r>
  <r>
    <s v="2024-05"/>
    <x v="5"/>
    <n v="47"/>
    <n v="29.500851000000001"/>
    <n v="1386.54"/>
  </r>
  <r>
    <s v="2024-05"/>
    <x v="4"/>
    <n v="129"/>
    <n v="9.586589"/>
    <n v="1236.67"/>
  </r>
  <r>
    <s v="2024-06"/>
    <x v="0"/>
    <n v="108"/>
    <n v="439.61796299999997"/>
    <n v="47478.74"/>
  </r>
  <r>
    <s v="2024-06"/>
    <x v="1"/>
    <n v="87"/>
    <n v="177.465057"/>
    <n v="15439.46"/>
  </r>
  <r>
    <s v="2024-06"/>
    <x v="3"/>
    <n v="109"/>
    <n v="33.254679000000003"/>
    <n v="3624.76"/>
  </r>
  <r>
    <s v="2024-06"/>
    <x v="2"/>
    <n v="79"/>
    <n v="32.736075999999997"/>
    <n v="2586.15"/>
  </r>
  <r>
    <s v="2024-06"/>
    <x v="5"/>
    <n v="55"/>
    <n v="32.602908999999997"/>
    <n v="1793.16"/>
  </r>
  <r>
    <s v="2024-06"/>
    <x v="4"/>
    <n v="115"/>
    <n v="9.9934779999999996"/>
    <n v="1149.25"/>
  </r>
  <r>
    <s v="2024-07"/>
    <x v="0"/>
    <n v="114"/>
    <n v="389.28578900000002"/>
    <n v="44378.58"/>
  </r>
  <r>
    <s v="2024-07"/>
    <x v="1"/>
    <n v="109"/>
    <n v="176.66889900000001"/>
    <n v="19256.91"/>
  </r>
  <r>
    <s v="2024-07"/>
    <x v="3"/>
    <n v="118"/>
    <n v="30.590847"/>
    <n v="3609.72"/>
  </r>
  <r>
    <s v="2024-07"/>
    <x v="2"/>
    <n v="72"/>
    <n v="30.958472"/>
    <n v="2229.0100000000002"/>
  </r>
  <r>
    <s v="2024-07"/>
    <x v="4"/>
    <n v="110"/>
    <n v="10.359636"/>
    <n v="1139.56"/>
  </r>
  <r>
    <s v="2024-07"/>
    <x v="5"/>
    <n v="39"/>
    <n v="25.96641"/>
    <n v="1012.69"/>
  </r>
  <r>
    <s v="2024-08"/>
    <x v="0"/>
    <n v="138"/>
    <n v="472.70869599999997"/>
    <n v="65233.8"/>
  </r>
  <r>
    <s v="2024-08"/>
    <x v="1"/>
    <n v="96"/>
    <n v="181.46562499999999"/>
    <n v="17420.7"/>
  </r>
  <r>
    <s v="2024-08"/>
    <x v="3"/>
    <n v="103"/>
    <n v="29.844175"/>
    <n v="3073.95"/>
  </r>
  <r>
    <s v="2024-08"/>
    <x v="2"/>
    <n v="72"/>
    <n v="26.43375"/>
    <n v="1903.23"/>
  </r>
  <r>
    <s v="2024-08"/>
    <x v="5"/>
    <n v="50"/>
    <n v="24.3368"/>
    <n v="1216.8399999999999"/>
  </r>
  <r>
    <s v="2024-08"/>
    <x v="4"/>
    <n v="108"/>
    <n v="10.782963000000001"/>
    <n v="1164.56"/>
  </r>
  <r>
    <s v="2024-09"/>
    <x v="0"/>
    <n v="99"/>
    <n v="513.20343400000002"/>
    <n v="50807.14"/>
  </r>
  <r>
    <s v="2024-09"/>
    <x v="1"/>
    <n v="81"/>
    <n v="176.13938300000001"/>
    <n v="14267.29"/>
  </r>
  <r>
    <s v="2024-09"/>
    <x v="3"/>
    <n v="99"/>
    <n v="33.692121"/>
    <n v="3335.52"/>
  </r>
  <r>
    <s v="2024-09"/>
    <x v="2"/>
    <n v="80"/>
    <n v="29.474499999999999"/>
    <n v="2357.96"/>
  </r>
  <r>
    <s v="2024-09"/>
    <x v="5"/>
    <n v="40"/>
    <n v="30.240500000000001"/>
    <n v="1209.6199999999999"/>
  </r>
  <r>
    <s v="2024-09"/>
    <x v="4"/>
    <n v="103"/>
    <n v="9.4009710000000002"/>
    <n v="968.3"/>
  </r>
  <r>
    <s v="2024-10"/>
    <x v="0"/>
    <n v="124"/>
    <n v="467.05935499999998"/>
    <n v="57915.360000000001"/>
  </r>
  <r>
    <s v="2024-10"/>
    <x v="1"/>
    <n v="102"/>
    <n v="173.51196100000001"/>
    <n v="17698.22"/>
  </r>
  <r>
    <s v="2024-10"/>
    <x v="3"/>
    <n v="104"/>
    <n v="31.672499999999999"/>
    <n v="3293.94"/>
  </r>
  <r>
    <s v="2024-10"/>
    <x v="2"/>
    <n v="69"/>
    <n v="26.645942000000002"/>
    <n v="1838.57"/>
  </r>
  <r>
    <s v="2024-10"/>
    <x v="5"/>
    <n v="48"/>
    <n v="30.284791999999999"/>
    <n v="1453.67"/>
  </r>
  <r>
    <s v="2024-10"/>
    <x v="4"/>
    <n v="121"/>
    <n v="9.8257849999999998"/>
    <n v="1188.92"/>
  </r>
  <r>
    <s v="2024-11"/>
    <x v="0"/>
    <n v="122"/>
    <n v="471.16590200000002"/>
    <n v="57482.239999999998"/>
  </r>
  <r>
    <s v="2024-11"/>
    <x v="1"/>
    <n v="107"/>
    <n v="176.67457899999999"/>
    <n v="18904.18"/>
  </r>
  <r>
    <s v="2024-11"/>
    <x v="3"/>
    <n v="81"/>
    <n v="32.005926000000002"/>
    <n v="2592.48"/>
  </r>
  <r>
    <s v="2024-11"/>
    <x v="2"/>
    <n v="89"/>
    <n v="26.858426999999999"/>
    <n v="2390.4"/>
  </r>
  <r>
    <s v="2024-11"/>
    <x v="5"/>
    <n v="45"/>
    <n v="25.637111000000001"/>
    <n v="1153.67"/>
  </r>
  <r>
    <s v="2024-11"/>
    <x v="4"/>
    <n v="101"/>
    <n v="10.278911000000001"/>
    <n v="1038.17"/>
  </r>
  <r>
    <s v="2024-12"/>
    <x v="0"/>
    <n v="110"/>
    <n v="447.18881800000003"/>
    <n v="49190.77"/>
  </r>
  <r>
    <s v="2024-12"/>
    <x v="1"/>
    <n v="71"/>
    <n v="172.51253500000001"/>
    <n v="12248.39"/>
  </r>
  <r>
    <s v="2024-12"/>
    <x v="3"/>
    <n v="103"/>
    <n v="34.370776999999997"/>
    <n v="3540.19"/>
  </r>
  <r>
    <s v="2024-12"/>
    <x v="2"/>
    <n v="96"/>
    <n v="34.249375000000001"/>
    <n v="3287.94"/>
  </r>
  <r>
    <s v="2024-12"/>
    <x v="5"/>
    <n v="41"/>
    <n v="29.594878000000001"/>
    <n v="1213.3900000000001"/>
  </r>
  <r>
    <s v="2024-12"/>
    <x v="4"/>
    <n v="110"/>
    <n v="10.082091"/>
    <n v="1109.03"/>
  </r>
  <r>
    <s v="2025-01"/>
    <x v="0"/>
    <n v="176"/>
    <n v="532.43051100000002"/>
    <n v="93707.77"/>
  </r>
  <r>
    <s v="2025-01"/>
    <x v="1"/>
    <n v="45"/>
    <n v="174.33266699999999"/>
    <n v="7844.97"/>
  </r>
  <r>
    <s v="2025-01"/>
    <x v="3"/>
    <n v="192"/>
    <n v="32.280259999999998"/>
    <n v="6197.81"/>
  </r>
  <r>
    <s v="2025-01"/>
    <x v="2"/>
    <n v="165"/>
    <n v="34.685212"/>
    <n v="5723.06"/>
  </r>
  <r>
    <s v="2025-01"/>
    <x v="5"/>
    <n v="96"/>
    <n v="33.958542000000001"/>
    <n v="3260.02"/>
  </r>
  <r>
    <s v="2025-01"/>
    <x v="4"/>
    <n v="199"/>
    <n v="9.6545229999999993"/>
    <n v="1921.25"/>
  </r>
  <r>
    <s v="2025-02"/>
    <x v="0"/>
    <n v="164"/>
    <n v="506.54048799999998"/>
    <n v="83072.639999999999"/>
  </r>
  <r>
    <s v="2025-02"/>
    <x v="1"/>
    <n v="50"/>
    <n v="166.73140000000001"/>
    <n v="8336.57"/>
  </r>
  <r>
    <s v="2025-02"/>
    <x v="3"/>
    <n v="154"/>
    <n v="33.338312000000002"/>
    <n v="5134.1000000000004"/>
  </r>
  <r>
    <s v="2025-02"/>
    <x v="2"/>
    <n v="161"/>
    <n v="31.721924999999999"/>
    <n v="5107.2299999999996"/>
  </r>
  <r>
    <s v="2025-02"/>
    <x v="4"/>
    <n v="175"/>
    <n v="9.8032570000000003"/>
    <n v="1715.57"/>
  </r>
  <r>
    <s v="2025-02"/>
    <x v="5"/>
    <n v="56"/>
    <n v="30.186786000000001"/>
    <n v="1690.46"/>
  </r>
  <r>
    <s v="2025-03"/>
    <x v="0"/>
    <n v="182"/>
    <n v="452.34472499999998"/>
    <n v="82326.740000000005"/>
  </r>
  <r>
    <s v="2025-03"/>
    <x v="1"/>
    <n v="62"/>
    <n v="177.460645"/>
    <n v="11002.56"/>
  </r>
  <r>
    <s v="2025-03"/>
    <x v="3"/>
    <n v="162"/>
    <n v="34.167963"/>
    <n v="5535.21"/>
  </r>
  <r>
    <s v="2025-03"/>
    <x v="2"/>
    <n v="146"/>
    <n v="32.159109999999998"/>
    <n v="4695.2299999999996"/>
  </r>
  <r>
    <s v="2025-03"/>
    <x v="5"/>
    <n v="99"/>
    <n v="31.627071000000001"/>
    <n v="3131.08"/>
  </r>
  <r>
    <s v="2025-03"/>
    <x v="4"/>
    <n v="203"/>
    <n v="9.7222170000000006"/>
    <n v="1973.61"/>
  </r>
  <r>
    <s v="2025-04"/>
    <x v="0"/>
    <n v="150"/>
    <n v="508.83179999999999"/>
    <n v="76324.77"/>
  </r>
  <r>
    <s v="2025-04"/>
    <x v="1"/>
    <n v="113"/>
    <n v="169.62823"/>
    <n v="19167.990000000002"/>
  </r>
  <r>
    <s v="2025-04"/>
    <x v="2"/>
    <n v="230"/>
    <n v="38.438825999999999"/>
    <n v="8840.93"/>
  </r>
  <r>
    <s v="2025-04"/>
    <x v="3"/>
    <n v="242"/>
    <n v="32.942686000000002"/>
    <n v="7972.13"/>
  </r>
  <r>
    <s v="2025-04"/>
    <x v="4"/>
    <n v="270"/>
    <n v="10.087519"/>
    <n v="2723.63"/>
  </r>
  <r>
    <s v="2025-04"/>
    <x v="5"/>
    <n v="95"/>
    <n v="28.453263"/>
    <n v="2703.06"/>
  </r>
  <r>
    <s v="2025-05"/>
    <x v="0"/>
    <n v="163"/>
    <n v="486.73552100000001"/>
    <n v="79337.89"/>
  </r>
  <r>
    <s v="2025-05"/>
    <x v="1"/>
    <n v="135"/>
    <n v="176.15222199999999"/>
    <n v="23780.55"/>
  </r>
  <r>
    <s v="2025-05"/>
    <x v="3"/>
    <n v="256"/>
    <n v="32.249727"/>
    <n v="8255.93"/>
  </r>
  <r>
    <s v="2025-05"/>
    <x v="2"/>
    <n v="211"/>
    <n v="34.186824999999999"/>
    <n v="7213.42"/>
  </r>
  <r>
    <s v="2025-05"/>
    <x v="5"/>
    <n v="94"/>
    <n v="36.439574"/>
    <n v="3425.32"/>
  </r>
  <r>
    <s v="2025-05"/>
    <x v="4"/>
    <n v="315"/>
    <n v="10.020856999999999"/>
    <n v="3156.57"/>
  </r>
  <r>
    <s v="2025-06"/>
    <x v="0"/>
    <n v="129"/>
    <n v="478.10085299999997"/>
    <n v="61675.01"/>
  </r>
  <r>
    <s v="2025-06"/>
    <x v="1"/>
    <n v="112"/>
    <n v="164.035357"/>
    <n v="18371.96"/>
  </r>
  <r>
    <s v="2025-06"/>
    <x v="3"/>
    <n v="239"/>
    <n v="34.216819999999998"/>
    <n v="8177.82"/>
  </r>
  <r>
    <s v="2025-06"/>
    <x v="2"/>
    <n v="207"/>
    <n v="32.760337999999997"/>
    <n v="6781.39"/>
  </r>
  <r>
    <s v="2025-06"/>
    <x v="5"/>
    <n v="105"/>
    <n v="33.560381"/>
    <n v="3523.84"/>
  </r>
  <r>
    <s v="2025-06"/>
    <x v="4"/>
    <n v="282"/>
    <n v="9.9240069999999996"/>
    <n v="2798.57"/>
  </r>
  <r>
    <s v="2025-07"/>
    <x v="0"/>
    <n v="199"/>
    <n v="540.52552800000001"/>
    <n v="107564.58"/>
  </r>
  <r>
    <s v="2025-07"/>
    <x v="1"/>
    <n v="96"/>
    <n v="171.895625"/>
    <n v="16501.98"/>
  </r>
  <r>
    <s v="2025-07"/>
    <x v="3"/>
    <n v="164"/>
    <n v="36.076889999999999"/>
    <n v="5916.61"/>
  </r>
  <r>
    <s v="2025-07"/>
    <x v="2"/>
    <n v="118"/>
    <n v="34.713475000000003"/>
    <n v="4096.1899999999996"/>
  </r>
  <r>
    <s v="2025-07"/>
    <x v="5"/>
    <n v="66"/>
    <n v="29.586061000000001"/>
    <n v="1952.68"/>
  </r>
  <r>
    <s v="2025-07"/>
    <x v="4"/>
    <n v="209"/>
    <n v="9.1292340000000003"/>
    <n v="1908.01"/>
  </r>
  <r>
    <s v="2025-08"/>
    <x v="0"/>
    <n v="193"/>
    <n v="528.83404099999996"/>
    <n v="102064.97"/>
  </r>
  <r>
    <s v="2025-08"/>
    <x v="1"/>
    <n v="88"/>
    <n v="165.91761399999999"/>
    <n v="14600.75"/>
  </r>
  <r>
    <s v="2025-08"/>
    <x v="2"/>
    <n v="139"/>
    <n v="33.947049999999997"/>
    <n v="4718.6400000000003"/>
  </r>
  <r>
    <s v="2025-08"/>
    <x v="3"/>
    <n v="149"/>
    <n v="31.116107"/>
    <n v="4636.3"/>
  </r>
  <r>
    <s v="2025-08"/>
    <x v="4"/>
    <n v="189"/>
    <n v="10.476190000000001"/>
    <n v="1980"/>
  </r>
  <r>
    <s v="2025-08"/>
    <x v="5"/>
    <n v="70"/>
    <n v="27.655286"/>
    <n v="1935.87"/>
  </r>
  <r>
    <s v="2025-09"/>
    <x v="0"/>
    <n v="171"/>
    <n v="455.08286500000003"/>
    <n v="77819.17"/>
  </r>
  <r>
    <s v="2025-09"/>
    <x v="1"/>
    <n v="94"/>
    <n v="175.669681"/>
    <n v="16512.95"/>
  </r>
  <r>
    <s v="2025-09"/>
    <x v="3"/>
    <n v="160"/>
    <n v="30.790313000000001"/>
    <n v="4926.45"/>
  </r>
  <r>
    <s v="2025-09"/>
    <x v="2"/>
    <n v="131"/>
    <n v="33.232595000000003"/>
    <n v="4353.47"/>
  </r>
  <r>
    <s v="2025-09"/>
    <x v="4"/>
    <n v="175"/>
    <n v="10.442171"/>
    <n v="1827.38"/>
  </r>
  <r>
    <s v="2025-09"/>
    <x v="5"/>
    <n v="51"/>
    <n v="29.331568999999998"/>
    <n v="1495.91"/>
  </r>
  <r>
    <s v="2025-10"/>
    <x v="0"/>
    <n v="312"/>
    <n v="463.068173"/>
    <n v="144477.26999999999"/>
  </r>
  <r>
    <s v="2025-10"/>
    <x v="1"/>
    <n v="139"/>
    <n v="170.24402900000001"/>
    <n v="23663.919999999998"/>
  </r>
  <r>
    <s v="2025-10"/>
    <x v="2"/>
    <n v="204"/>
    <n v="35.453921999999999"/>
    <n v="7232.6"/>
  </r>
  <r>
    <s v="2025-10"/>
    <x v="3"/>
    <n v="246"/>
    <n v="29.302439"/>
    <n v="7208.4"/>
  </r>
  <r>
    <s v="2025-10"/>
    <x v="5"/>
    <n v="99"/>
    <n v="30.765758000000002"/>
    <n v="3045.81"/>
  </r>
  <r>
    <s v="2025-10"/>
    <x v="4"/>
    <n v="251"/>
    <n v="10.310598000000001"/>
    <n v="2587.96"/>
  </r>
  <r>
    <s v="2025-11"/>
    <x v="0"/>
    <n v="211"/>
    <n v="492.86170600000003"/>
    <n v="103993.82"/>
  </r>
  <r>
    <s v="2025-11"/>
    <x v="1"/>
    <n v="96"/>
    <n v="165.94958299999999"/>
    <n v="15931.16"/>
  </r>
  <r>
    <s v="2025-11"/>
    <x v="3"/>
    <n v="172"/>
    <n v="31.892267"/>
    <n v="5485.47"/>
  </r>
  <r>
    <s v="2025-11"/>
    <x v="2"/>
    <n v="128"/>
    <n v="31.618281"/>
    <n v="4047.14"/>
  </r>
  <r>
    <s v="2025-11"/>
    <x v="5"/>
    <n v="60"/>
    <n v="31.091000000000001"/>
    <n v="1865.46"/>
  </r>
  <r>
    <s v="2025-11"/>
    <x v="4"/>
    <n v="174"/>
    <n v="9.7689079999999997"/>
    <n v="1699.79"/>
  </r>
  <r>
    <s v="2025-12"/>
    <x v="0"/>
    <n v="192"/>
    <n v="485.71411499999999"/>
    <n v="93257.11"/>
  </r>
  <r>
    <s v="2025-12"/>
    <x v="1"/>
    <n v="87"/>
    <n v="174.25931"/>
    <n v="15160.56"/>
  </r>
  <r>
    <s v="2025-12"/>
    <x v="3"/>
    <n v="175"/>
    <n v="33.740743000000002"/>
    <n v="5904.63"/>
  </r>
  <r>
    <s v="2025-12"/>
    <x v="2"/>
    <n v="137"/>
    <n v="29.221533000000001"/>
    <n v="4003.35"/>
  </r>
  <r>
    <s v="2025-12"/>
    <x v="5"/>
    <n v="71"/>
    <n v="32.047041999999998"/>
    <n v="2275.34"/>
  </r>
  <r>
    <s v="2025-12"/>
    <x v="4"/>
    <n v="178"/>
    <n v="10.153257999999999"/>
    <n v="1807.2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724"/>
    <n v="618846.25"/>
    <n v="4457"/>
    <n v="138.84816000000001"/>
  </r>
  <r>
    <x v="1"/>
    <n v="728"/>
    <n v="541670.66"/>
    <n v="4320"/>
    <n v="125.38672699999999"/>
  </r>
  <r>
    <x v="2"/>
    <n v="722"/>
    <n v="332620.43"/>
    <n v="2228"/>
    <n v="149.29103699999999"/>
  </r>
  <r>
    <x v="3"/>
    <n v="719"/>
    <n v="331956.13"/>
    <n v="2241"/>
    <n v="148.12857199999999"/>
  </r>
  <r>
    <x v="4"/>
    <n v="721"/>
    <n v="331667.08"/>
    <n v="2280"/>
    <n v="145.468018"/>
  </r>
  <r>
    <x v="5"/>
    <n v="727"/>
    <n v="330848.14"/>
    <n v="2235"/>
    <n v="148.03048799999999"/>
  </r>
  <r>
    <x v="6"/>
    <n v="729"/>
    <n v="308979.01"/>
    <n v="2226"/>
    <n v="138.804587"/>
  </r>
  <r>
    <x v="7"/>
    <n v="720"/>
    <n v="302270.07"/>
    <n v="2277"/>
    <n v="132.74926199999999"/>
  </r>
  <r>
    <x v="8"/>
    <n v="726"/>
    <n v="297891.71000000002"/>
    <n v="2271"/>
    <n v="131.172043"/>
  </r>
  <r>
    <x v="9"/>
    <n v="723"/>
    <n v="273835.24"/>
    <n v="2144"/>
    <n v="127.72166"/>
  </r>
  <r>
    <x v="10"/>
    <n v="725"/>
    <n v="259602.83"/>
    <n v="1937"/>
    <n v="134.023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B0C07-F4ED-477F-BF99-046BDF5C5D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Month">
  <location ref="A1:B50" firstHeaderRow="1" firstDataRow="1" firstDataCol="1"/>
  <pivotFields count="2">
    <pivotField axis="axisRow"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5"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Monthly Revenue" fld="1"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69182-22B5-43A1-8973-CD95BD1FDDF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A1:B5" firstHeaderRow="1" firstDataRow="1" firstDataCol="1"/>
  <pivotFields count="3">
    <pivotField showAll="0">
      <items count="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1"/>
  </rowFields>
  <rowItems count="4">
    <i>
      <x/>
    </i>
    <i>
      <x v="2"/>
    </i>
    <i>
      <x v="1"/>
    </i>
    <i t="grand">
      <x/>
    </i>
  </rowItems>
  <colItems count="1">
    <i/>
  </colItems>
  <dataFields count="1">
    <dataField name="Total Revenue" fld="2" baseField="1" baseItem="1"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9CDEC2-5C8B-42EC-B270-973A298F497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1:C8" firstHeaderRow="0" firstDataRow="1" firstDataCol="1"/>
  <pivotFields count="5">
    <pivotField showAll="0"/>
    <pivotField axis="axisRow" showAll="0" sortType="descending">
      <items count="7">
        <item x="3"/>
        <item x="2"/>
        <item x="5"/>
        <item x="4"/>
        <item x="0"/>
        <item x="1"/>
        <item t="default"/>
      </items>
      <autoSortScope>
        <pivotArea dataOnly="0" outline="0" fieldPosition="0">
          <references count="1">
            <reference field="4294967294" count="1" selected="0">
              <x v="0"/>
            </reference>
          </references>
        </pivotArea>
      </autoSortScope>
    </pivotField>
    <pivotField dataField="1" showAll="0"/>
    <pivotField numFmtId="165" showAll="0"/>
    <pivotField dataField="1" numFmtId="165" showAll="0"/>
  </pivotFields>
  <rowFields count="1">
    <field x="1"/>
  </rowFields>
  <rowItems count="7">
    <i>
      <x v="4"/>
    </i>
    <i>
      <x v="5"/>
    </i>
    <i>
      <x/>
    </i>
    <i>
      <x v="1"/>
    </i>
    <i>
      <x v="2"/>
    </i>
    <i>
      <x v="3"/>
    </i>
    <i t="grand">
      <x/>
    </i>
  </rowItems>
  <colFields count="1">
    <field x="-2"/>
  </colFields>
  <colItems count="2">
    <i>
      <x/>
    </i>
    <i i="1">
      <x v="1"/>
    </i>
  </colItems>
  <dataFields count="2">
    <dataField name="Total Revenue" fld="4" baseField="1" baseItem="4" numFmtId="165"/>
    <dataField name="Total Transactions" fld="2" baseField="1" baseItem="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44BDA-34FD-4210-A057-6D585F397FA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City">
  <location ref="A1:B13" firstHeaderRow="1" firstDataRow="1" firstDataCol="1"/>
  <pivotFields count="5">
    <pivotField axis="axisRow" showAll="0" sortType="ascending">
      <items count="12">
        <item x="3"/>
        <item x="7"/>
        <item x="4"/>
        <item x="2"/>
        <item x="9"/>
        <item x="0"/>
        <item x="10"/>
        <item x="8"/>
        <item x="5"/>
        <item x="1"/>
        <item x="6"/>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numFmtId="165" showAll="0"/>
  </pivotFields>
  <rowFields count="1">
    <field x="0"/>
  </rowFields>
  <rowItems count="12">
    <i>
      <x v="6"/>
    </i>
    <i>
      <x v="4"/>
    </i>
    <i>
      <x v="7"/>
    </i>
    <i>
      <x v="1"/>
    </i>
    <i>
      <x v="10"/>
    </i>
    <i>
      <x v="8"/>
    </i>
    <i>
      <x v="2"/>
    </i>
    <i>
      <x/>
    </i>
    <i>
      <x v="3"/>
    </i>
    <i>
      <x v="9"/>
    </i>
    <i>
      <x v="5"/>
    </i>
    <i t="grand">
      <x/>
    </i>
  </rowItems>
  <colItems count="1">
    <i/>
  </colItems>
  <dataFields count="1">
    <dataField name="Total Revenue" fld="2" baseField="0" baseItem="6"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4473F-F220-4DA1-BFBF-308CAE09173A}" name="Table1" displayName="Table1" ref="A2:D3" totalsRowShown="0" headerRowDxfId="28" dataDxfId="27">
  <autoFilter ref="A2:D3" xr:uid="{B2E4473F-F220-4DA1-BFBF-308CAE09173A}"/>
  <tableColumns count="4">
    <tableColumn id="1" xr3:uid="{C96457CE-B5DC-42C8-A362-D615B89D2212}" name="State" dataDxfId="26"/>
    <tableColumn id="2" xr3:uid="{0E1398B2-4F61-431E-AD76-8B19E08677FB}" name="Total_Revenue" dataDxfId="25"/>
    <tableColumn id="3" xr3:uid="{0C3F7653-6BEC-430D-8C42-4B79A4FAE6B4}" name="Start_Date" dataDxfId="24"/>
    <tableColumn id="4" xr3:uid="{294C8230-7F3C-4F46-8401-427F5D57E73D}" name="End_Date" dataDxfId="23"/>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86A86A-B6D3-453C-A8F6-B63EC24ABA51}" name="Table2" displayName="Table2" ref="H2:I50" totalsRowShown="0" headerRowDxfId="22" dataDxfId="21">
  <autoFilter ref="H2:I50" xr:uid="{3386A86A-B6D3-453C-A8F6-B63EC24ABA51}"/>
  <tableColumns count="2">
    <tableColumn id="1" xr3:uid="{CA8358EA-B68D-486A-B2EA-7B51ECC53B73}" name="Sales_Month" dataDxfId="20"/>
    <tableColumn id="2" xr3:uid="{B4248EF9-D6BC-48D6-AAAA-8EE1216936A9}" name="Monthly_Revenue" dataDxfId="19"/>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809BC0-28DB-42DD-9693-D82452814A11}" name="Table3" displayName="Table3" ref="A6:C9" totalsRowShown="0" headerRowDxfId="18" dataDxfId="17">
  <autoFilter ref="A6:C9" xr:uid="{E2809BC0-28DB-42DD-9693-D82452814A11}"/>
  <tableColumns count="3">
    <tableColumn id="1" xr3:uid="{22AE03EE-7826-4EF3-88BD-F1B73417C5B0}" name="Region" dataDxfId="16"/>
    <tableColumn id="2" xr3:uid="{215FD813-581C-4765-8B95-6F7EA3C846A2}" name="State" dataDxfId="15"/>
    <tableColumn id="3" xr3:uid="{4848A617-CFC5-4E16-B43D-8B82B7D08F77}" name="Total_Revenue" dataDxfId="14"/>
  </tableColumns>
  <tableStyleInfo name="TableStyleLight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6943DF-CFB9-4FB7-BFDB-1920EA665B7E}" name="Table4" displayName="Table4" ref="K2:O290" totalsRowShown="0" headerRowDxfId="13" dataDxfId="12">
  <autoFilter ref="K2:O290" xr:uid="{2F6943DF-CFB9-4FB7-BFDB-1920EA665B7E}"/>
  <tableColumns count="5">
    <tableColumn id="1" xr3:uid="{126A08C9-49AF-4732-8A1A-6B1B0E03D68F}" name="Sales_Month" dataDxfId="11"/>
    <tableColumn id="2" xr3:uid="{A9E5217C-ABBA-456F-9522-EFA3F3041A7D}" name="Category" dataDxfId="10"/>
    <tableColumn id="3" xr3:uid="{799D0B1C-31F1-4609-AFC6-E01E30BB9FE4}" name="Total_Transactions" dataDxfId="9"/>
    <tableColumn id="4" xr3:uid="{D12D6F14-26EF-4C85-85DD-881EC6EF32B6}" name="Average_Transaction_Size" dataDxfId="8"/>
    <tableColumn id="5" xr3:uid="{D4AB814D-A24C-4E97-BACA-7E61731BCB6A}" name="Total_Revenue" dataDxfId="7"/>
  </tableColumns>
  <tableStyleInfo name="TableStyleLight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C1A4C7-5B2B-450D-9D53-0CE865B93DB4}" name="Table5" displayName="Table5" ref="A12:E23" totalsRowShown="0" headerRowDxfId="6" dataDxfId="5">
  <autoFilter ref="A12:E23" xr:uid="{9BC1A4C7-5B2B-450D-9D53-0CE865B93DB4}"/>
  <sortState xmlns:xlrd2="http://schemas.microsoft.com/office/spreadsheetml/2017/richdata2" ref="A13:E23">
    <sortCondition descending="1" ref="C12:C23"/>
  </sortState>
  <tableColumns count="5">
    <tableColumn id="1" xr3:uid="{8DF8BB62-DBB8-495E-8EEC-F0415D0A9B8F}" name="Store_City" dataDxfId="4"/>
    <tableColumn id="2" xr3:uid="{1E746DF0-0F16-4A8E-9732-2CD6CD0DD562}" name="Store_ID" dataDxfId="3"/>
    <tableColumn id="3" xr3:uid="{F7CA5901-1D12-4478-AE85-FF12C70846C2}" name="Total_Revenue" dataDxfId="2"/>
    <tableColumn id="4" xr3:uid="{D77F9EA4-D285-4D32-8B43-97DDB5CF7917}" name="Total_Transactions" dataDxfId="1"/>
    <tableColumn id="5" xr3:uid="{B44D498A-ADEC-419D-AD52-D7DCD4327ACC}" name="Average_Transaction_Size"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2BCA-F450-45D2-95DD-7F13866E474A}">
  <dimension ref="B1:Y48"/>
  <sheetViews>
    <sheetView showGridLines="0" tabSelected="1" zoomScale="80" zoomScaleNormal="80" workbookViewId="0">
      <selection activeCell="M64" sqref="M64"/>
    </sheetView>
  </sheetViews>
  <sheetFormatPr defaultRowHeight="14.5" x14ac:dyDescent="0.35"/>
  <cols>
    <col min="1" max="16384" width="8.7265625" style="15"/>
  </cols>
  <sheetData>
    <row r="1" spans="2:25" ht="15" thickBot="1" x14ac:dyDescent="0.4"/>
    <row r="2" spans="2:25" ht="24.5" thickTop="1" thickBot="1" x14ac:dyDescent="0.4">
      <c r="B2" s="40" t="s">
        <v>91</v>
      </c>
      <c r="C2" s="41"/>
      <c r="D2" s="41"/>
      <c r="E2" s="41"/>
      <c r="F2" s="41"/>
      <c r="G2" s="41"/>
      <c r="H2" s="41"/>
      <c r="I2" s="41"/>
      <c r="J2" s="41"/>
      <c r="K2" s="41"/>
      <c r="L2" s="41"/>
      <c r="M2" s="41"/>
      <c r="N2" s="41"/>
      <c r="O2" s="41"/>
      <c r="P2" s="41"/>
      <c r="Q2" s="41"/>
      <c r="R2" s="41"/>
      <c r="S2" s="41"/>
      <c r="T2" s="41"/>
      <c r="U2" s="41"/>
      <c r="V2" s="41"/>
      <c r="W2" s="41"/>
      <c r="X2" s="41"/>
      <c r="Y2" s="42"/>
    </row>
    <row r="3" spans="2:25" ht="15" customHeight="1" thickTop="1" x14ac:dyDescent="0.35">
      <c r="B3" s="16" t="s">
        <v>65</v>
      </c>
      <c r="C3" s="17"/>
      <c r="D3" s="17"/>
      <c r="E3" s="17"/>
      <c r="F3" s="17"/>
      <c r="G3" s="18"/>
      <c r="H3" s="16" t="s">
        <v>90</v>
      </c>
      <c r="I3" s="17"/>
      <c r="J3" s="17"/>
      <c r="K3" s="17"/>
      <c r="L3" s="17"/>
      <c r="M3" s="18"/>
      <c r="N3" s="16" t="s">
        <v>92</v>
      </c>
      <c r="O3" s="17"/>
      <c r="P3" s="17"/>
      <c r="Q3" s="17"/>
      <c r="R3" s="17"/>
      <c r="S3" s="18"/>
      <c r="T3" s="16" t="s">
        <v>93</v>
      </c>
      <c r="U3" s="17"/>
      <c r="V3" s="17"/>
      <c r="W3" s="17"/>
      <c r="X3" s="17"/>
      <c r="Y3" s="18"/>
    </row>
    <row r="4" spans="2:25" ht="14.5" customHeight="1" x14ac:dyDescent="0.35">
      <c r="B4" s="19"/>
      <c r="C4" s="20"/>
      <c r="D4" s="20"/>
      <c r="E4" s="20"/>
      <c r="F4" s="20"/>
      <c r="G4" s="21"/>
      <c r="H4" s="19"/>
      <c r="I4" s="20"/>
      <c r="J4" s="20"/>
      <c r="K4" s="20"/>
      <c r="L4" s="20"/>
      <c r="M4" s="21"/>
      <c r="N4" s="19"/>
      <c r="O4" s="20"/>
      <c r="P4" s="20"/>
      <c r="Q4" s="20"/>
      <c r="R4" s="20"/>
      <c r="S4" s="21"/>
      <c r="T4" s="19"/>
      <c r="U4" s="20"/>
      <c r="V4" s="20"/>
      <c r="W4" s="20"/>
      <c r="X4" s="20"/>
      <c r="Y4" s="21"/>
    </row>
    <row r="5" spans="2:25" ht="14.5" customHeight="1" x14ac:dyDescent="0.35">
      <c r="B5" s="22">
        <f>Florida_Dataset!B3</f>
        <v>3930187.55</v>
      </c>
      <c r="C5" s="23"/>
      <c r="D5" s="23"/>
      <c r="E5" s="23"/>
      <c r="F5" s="23"/>
      <c r="G5" s="24"/>
      <c r="H5" s="25">
        <f>SUM(Florida_Dataset!D13:D23)</f>
        <v>28616</v>
      </c>
      <c r="I5" s="26"/>
      <c r="J5" s="26"/>
      <c r="K5" s="26"/>
      <c r="L5" s="26"/>
      <c r="M5" s="27"/>
      <c r="N5" s="22">
        <f>B5/H5</f>
        <v>137.34231024601621</v>
      </c>
      <c r="O5" s="23"/>
      <c r="P5" s="23"/>
      <c r="Q5" s="23"/>
      <c r="R5" s="23"/>
      <c r="S5" s="24"/>
      <c r="T5" s="28" t="s">
        <v>94</v>
      </c>
      <c r="U5" s="29"/>
      <c r="V5" s="29"/>
      <c r="W5" s="29"/>
      <c r="X5" s="29"/>
      <c r="Y5" s="30"/>
    </row>
    <row r="6" spans="2:25" ht="14.5" customHeight="1" x14ac:dyDescent="0.35">
      <c r="B6" s="22"/>
      <c r="C6" s="23"/>
      <c r="D6" s="23"/>
      <c r="E6" s="23"/>
      <c r="F6" s="23"/>
      <c r="G6" s="24"/>
      <c r="H6" s="25"/>
      <c r="I6" s="26"/>
      <c r="J6" s="26"/>
      <c r="K6" s="26"/>
      <c r="L6" s="26"/>
      <c r="M6" s="27"/>
      <c r="N6" s="22"/>
      <c r="O6" s="23"/>
      <c r="P6" s="23"/>
      <c r="Q6" s="23"/>
      <c r="R6" s="23"/>
      <c r="S6" s="24"/>
      <c r="T6" s="28"/>
      <c r="U6" s="29"/>
      <c r="V6" s="29"/>
      <c r="W6" s="29"/>
      <c r="X6" s="29"/>
      <c r="Y6" s="30"/>
    </row>
    <row r="7" spans="2:25" ht="15" customHeight="1" thickBot="1" x14ac:dyDescent="0.4">
      <c r="B7" s="31"/>
      <c r="C7" s="32"/>
      <c r="D7" s="32"/>
      <c r="E7" s="32"/>
      <c r="F7" s="32"/>
      <c r="G7" s="33"/>
      <c r="H7" s="34"/>
      <c r="I7" s="35"/>
      <c r="J7" s="35"/>
      <c r="K7" s="35"/>
      <c r="L7" s="35"/>
      <c r="M7" s="36"/>
      <c r="N7" s="31"/>
      <c r="O7" s="32"/>
      <c r="P7" s="32"/>
      <c r="Q7" s="32"/>
      <c r="R7" s="32"/>
      <c r="S7" s="33"/>
      <c r="T7" s="37"/>
      <c r="U7" s="38"/>
      <c r="V7" s="38"/>
      <c r="W7" s="38"/>
      <c r="X7" s="38"/>
      <c r="Y7" s="39"/>
    </row>
    <row r="8" spans="2:25" ht="15" thickTop="1" x14ac:dyDescent="0.35">
      <c r="B8" s="43"/>
      <c r="C8" s="43"/>
      <c r="D8" s="43"/>
      <c r="E8" s="43"/>
      <c r="F8" s="43"/>
      <c r="G8" s="43"/>
      <c r="H8" s="43"/>
      <c r="I8" s="43"/>
      <c r="J8" s="43"/>
      <c r="K8" s="43"/>
      <c r="L8" s="43"/>
      <c r="M8" s="43"/>
      <c r="N8" s="43"/>
      <c r="O8" s="43"/>
      <c r="P8" s="43"/>
      <c r="Q8" s="43"/>
      <c r="R8" s="43"/>
      <c r="S8" s="43"/>
      <c r="T8" s="43"/>
      <c r="U8" s="43"/>
      <c r="V8" s="43"/>
      <c r="W8" s="43"/>
      <c r="X8" s="43"/>
      <c r="Y8" s="43"/>
    </row>
    <row r="9" spans="2:25" x14ac:dyDescent="0.35">
      <c r="B9" s="43"/>
      <c r="C9" s="43"/>
      <c r="D9" s="43"/>
      <c r="E9" s="43"/>
      <c r="F9" s="43"/>
      <c r="G9" s="43"/>
      <c r="H9" s="43"/>
      <c r="I9" s="43"/>
      <c r="J9" s="43"/>
      <c r="K9" s="43"/>
      <c r="L9" s="43"/>
      <c r="M9" s="43"/>
      <c r="N9" s="43"/>
      <c r="O9" s="43"/>
      <c r="P9" s="43"/>
      <c r="Q9" s="43"/>
      <c r="R9" s="43"/>
      <c r="S9" s="43"/>
      <c r="T9" s="43"/>
      <c r="U9" s="43"/>
      <c r="V9" s="43"/>
      <c r="W9" s="43"/>
      <c r="X9" s="43"/>
      <c r="Y9" s="43"/>
    </row>
    <row r="10" spans="2:25" x14ac:dyDescent="0.35">
      <c r="B10" s="43"/>
      <c r="C10" s="43"/>
      <c r="D10" s="43"/>
      <c r="E10" s="43"/>
      <c r="F10" s="43"/>
      <c r="G10" s="43"/>
      <c r="H10" s="43"/>
      <c r="I10" s="43"/>
      <c r="J10" s="43"/>
      <c r="K10" s="43"/>
      <c r="L10" s="43"/>
      <c r="M10" s="43"/>
      <c r="N10" s="43"/>
      <c r="O10" s="43"/>
      <c r="P10" s="43"/>
      <c r="Q10" s="43"/>
      <c r="R10" s="43"/>
      <c r="S10" s="43"/>
      <c r="T10" s="43"/>
      <c r="U10" s="43"/>
      <c r="V10" s="43"/>
      <c r="W10" s="43"/>
      <c r="X10" s="43"/>
      <c r="Y10" s="43"/>
    </row>
    <row r="11" spans="2:25" x14ac:dyDescent="0.35">
      <c r="B11" s="43"/>
      <c r="C11" s="43"/>
      <c r="D11" s="43"/>
      <c r="E11" s="43"/>
      <c r="F11" s="43"/>
      <c r="G11" s="43"/>
      <c r="H11" s="43"/>
      <c r="I11" s="43"/>
      <c r="J11" s="43"/>
      <c r="K11" s="43"/>
      <c r="L11" s="43"/>
      <c r="M11" s="43"/>
      <c r="N11" s="43"/>
      <c r="O11" s="43"/>
      <c r="P11" s="43"/>
      <c r="Q11" s="43"/>
      <c r="R11" s="43"/>
      <c r="S11" s="43"/>
      <c r="T11" s="43"/>
      <c r="U11" s="43"/>
      <c r="V11" s="43"/>
      <c r="W11" s="43"/>
      <c r="X11" s="43"/>
      <c r="Y11" s="43"/>
    </row>
    <row r="12" spans="2:25" x14ac:dyDescent="0.35">
      <c r="B12" s="43"/>
      <c r="C12" s="43"/>
      <c r="D12" s="43"/>
      <c r="E12" s="43"/>
      <c r="F12" s="43"/>
      <c r="G12" s="43"/>
      <c r="H12" s="43"/>
      <c r="I12" s="43"/>
      <c r="J12" s="43"/>
      <c r="K12" s="43"/>
      <c r="L12" s="43"/>
      <c r="M12" s="43"/>
      <c r="N12" s="43"/>
      <c r="O12" s="43"/>
      <c r="P12" s="43"/>
      <c r="Q12" s="43"/>
      <c r="R12" s="43"/>
      <c r="S12" s="43"/>
      <c r="T12" s="43"/>
      <c r="U12" s="43"/>
      <c r="V12" s="43"/>
      <c r="W12" s="43"/>
      <c r="X12" s="43"/>
      <c r="Y12" s="43"/>
    </row>
    <row r="13" spans="2:25" x14ac:dyDescent="0.35">
      <c r="B13" s="43"/>
      <c r="C13" s="43"/>
      <c r="D13" s="43"/>
      <c r="E13" s="43"/>
      <c r="F13" s="43"/>
      <c r="G13" s="43"/>
      <c r="H13" s="43"/>
      <c r="I13" s="43"/>
      <c r="J13" s="43"/>
      <c r="K13" s="43"/>
      <c r="L13" s="43"/>
      <c r="M13" s="43"/>
      <c r="N13" s="43"/>
      <c r="O13" s="43"/>
      <c r="P13" s="43"/>
      <c r="Q13" s="43"/>
      <c r="R13" s="43"/>
      <c r="S13" s="43"/>
      <c r="T13" s="43"/>
      <c r="U13" s="43"/>
      <c r="V13" s="43"/>
      <c r="W13" s="43"/>
      <c r="X13" s="43"/>
      <c r="Y13" s="43"/>
    </row>
    <row r="14" spans="2:25" x14ac:dyDescent="0.35">
      <c r="B14" s="43"/>
      <c r="C14" s="43"/>
      <c r="D14" s="43"/>
      <c r="E14" s="43"/>
      <c r="F14" s="43"/>
      <c r="G14" s="43"/>
      <c r="H14" s="43"/>
      <c r="I14" s="43"/>
      <c r="J14" s="43"/>
      <c r="K14" s="43"/>
      <c r="L14" s="43"/>
      <c r="M14" s="43"/>
      <c r="N14" s="43"/>
      <c r="O14" s="43"/>
      <c r="P14" s="43"/>
      <c r="Q14" s="43"/>
      <c r="R14" s="43"/>
      <c r="S14" s="43"/>
      <c r="T14" s="43"/>
      <c r="U14" s="43"/>
      <c r="V14" s="43"/>
      <c r="W14" s="43"/>
      <c r="X14" s="43"/>
      <c r="Y14" s="43"/>
    </row>
    <row r="15" spans="2:25" x14ac:dyDescent="0.35">
      <c r="B15" s="43"/>
      <c r="C15" s="43"/>
      <c r="D15" s="43"/>
      <c r="E15" s="43"/>
      <c r="F15" s="43"/>
      <c r="G15" s="43"/>
      <c r="H15" s="43"/>
      <c r="I15" s="43"/>
      <c r="J15" s="43"/>
      <c r="K15" s="43"/>
      <c r="L15" s="43"/>
      <c r="M15" s="43"/>
      <c r="N15" s="43"/>
      <c r="O15" s="43"/>
      <c r="P15" s="43"/>
      <c r="Q15" s="43"/>
      <c r="R15" s="43"/>
      <c r="S15" s="43"/>
      <c r="T15" s="43"/>
      <c r="U15" s="43"/>
      <c r="V15" s="43"/>
      <c r="W15" s="43"/>
      <c r="X15" s="43"/>
      <c r="Y15" s="43"/>
    </row>
    <row r="16" spans="2:25" x14ac:dyDescent="0.35">
      <c r="B16" s="43"/>
      <c r="C16" s="43"/>
      <c r="D16" s="43"/>
      <c r="E16" s="43"/>
      <c r="F16" s="43"/>
      <c r="G16" s="43"/>
      <c r="H16" s="43"/>
      <c r="I16" s="43"/>
      <c r="J16" s="43"/>
      <c r="K16" s="43"/>
      <c r="L16" s="43"/>
      <c r="M16" s="43"/>
      <c r="N16" s="43"/>
      <c r="O16" s="43"/>
      <c r="P16" s="43"/>
      <c r="Q16" s="43"/>
      <c r="R16" s="43"/>
      <c r="S16" s="43"/>
      <c r="T16" s="43"/>
      <c r="U16" s="43"/>
      <c r="V16" s="43"/>
      <c r="W16" s="43"/>
      <c r="X16" s="43"/>
      <c r="Y16" s="43"/>
    </row>
    <row r="17" spans="2:25" x14ac:dyDescent="0.35">
      <c r="B17" s="43"/>
      <c r="C17" s="43"/>
      <c r="D17" s="43"/>
      <c r="E17" s="43"/>
      <c r="F17" s="43"/>
      <c r="G17" s="43"/>
      <c r="H17" s="43"/>
      <c r="I17" s="43"/>
      <c r="J17" s="43"/>
      <c r="K17" s="43"/>
      <c r="L17" s="43"/>
      <c r="M17" s="43"/>
      <c r="N17" s="43"/>
      <c r="O17" s="43"/>
      <c r="P17" s="43"/>
      <c r="Q17" s="43"/>
      <c r="R17" s="43"/>
      <c r="S17" s="43"/>
      <c r="T17" s="43"/>
      <c r="U17" s="43"/>
      <c r="V17" s="43"/>
      <c r="W17" s="43"/>
      <c r="X17" s="43"/>
      <c r="Y17" s="43"/>
    </row>
    <row r="18" spans="2:25" x14ac:dyDescent="0.35">
      <c r="B18" s="43"/>
      <c r="C18" s="43"/>
      <c r="D18" s="43"/>
      <c r="E18" s="43"/>
      <c r="F18" s="43"/>
      <c r="G18" s="43"/>
      <c r="H18" s="43"/>
      <c r="I18" s="43"/>
      <c r="J18" s="43"/>
      <c r="K18" s="43"/>
      <c r="L18" s="43"/>
      <c r="M18" s="43"/>
      <c r="N18" s="43"/>
      <c r="O18" s="43"/>
      <c r="P18" s="43"/>
      <c r="Q18" s="43"/>
      <c r="R18" s="43"/>
      <c r="S18" s="43"/>
      <c r="T18" s="43"/>
      <c r="U18" s="43"/>
      <c r="V18" s="43"/>
      <c r="W18" s="43"/>
      <c r="X18" s="43"/>
      <c r="Y18" s="43"/>
    </row>
    <row r="19" spans="2:25" x14ac:dyDescent="0.35">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2:25" x14ac:dyDescent="0.35">
      <c r="B20" s="43"/>
      <c r="C20" s="43"/>
      <c r="D20" s="43"/>
      <c r="E20" s="43"/>
      <c r="F20" s="43"/>
      <c r="G20" s="43"/>
      <c r="H20" s="43"/>
      <c r="I20" s="43"/>
      <c r="J20" s="43"/>
      <c r="K20" s="43"/>
      <c r="L20" s="43"/>
      <c r="M20" s="43"/>
      <c r="N20" s="43"/>
      <c r="O20" s="43"/>
      <c r="P20" s="43"/>
      <c r="Q20" s="43"/>
      <c r="R20" s="43"/>
      <c r="S20" s="43"/>
      <c r="T20" s="43"/>
      <c r="U20" s="43"/>
      <c r="V20" s="43"/>
      <c r="W20" s="43"/>
      <c r="X20" s="43"/>
      <c r="Y20" s="43"/>
    </row>
    <row r="21" spans="2:25" x14ac:dyDescent="0.35">
      <c r="B21" s="43"/>
      <c r="C21" s="43"/>
      <c r="D21" s="43"/>
      <c r="E21" s="43"/>
      <c r="F21" s="43"/>
      <c r="G21" s="43"/>
      <c r="H21" s="43"/>
      <c r="I21" s="43"/>
      <c r="J21" s="43"/>
      <c r="K21" s="43"/>
      <c r="L21" s="43"/>
      <c r="M21" s="43"/>
      <c r="N21" s="43"/>
      <c r="O21" s="43"/>
      <c r="P21" s="43"/>
      <c r="Q21" s="43"/>
      <c r="R21" s="43"/>
      <c r="S21" s="43"/>
      <c r="T21" s="43"/>
      <c r="U21" s="43"/>
      <c r="V21" s="43"/>
      <c r="W21" s="43"/>
      <c r="X21" s="43"/>
      <c r="Y21" s="43"/>
    </row>
    <row r="22" spans="2:25" x14ac:dyDescent="0.35">
      <c r="B22" s="43"/>
      <c r="C22" s="43"/>
      <c r="D22" s="43"/>
      <c r="E22" s="43"/>
      <c r="F22" s="43"/>
      <c r="G22" s="43"/>
      <c r="H22" s="43"/>
      <c r="I22" s="43"/>
      <c r="J22" s="43"/>
      <c r="K22" s="43"/>
      <c r="L22" s="43"/>
      <c r="M22" s="43"/>
      <c r="N22" s="43"/>
      <c r="O22" s="43"/>
      <c r="P22" s="43"/>
      <c r="Q22" s="43"/>
      <c r="R22" s="43"/>
      <c r="S22" s="43"/>
      <c r="T22" s="43"/>
      <c r="U22" s="43"/>
      <c r="V22" s="43"/>
      <c r="W22" s="43"/>
      <c r="X22" s="43"/>
      <c r="Y22" s="43"/>
    </row>
    <row r="23" spans="2:25" x14ac:dyDescent="0.35">
      <c r="B23" s="43"/>
      <c r="C23" s="43"/>
      <c r="D23" s="43"/>
      <c r="E23" s="43"/>
      <c r="F23" s="43"/>
      <c r="G23" s="43"/>
      <c r="H23" s="43"/>
      <c r="I23" s="43"/>
      <c r="J23" s="43"/>
      <c r="K23" s="43"/>
      <c r="L23" s="43"/>
      <c r="M23" s="43"/>
      <c r="N23" s="43"/>
      <c r="O23" s="43"/>
      <c r="P23" s="43"/>
      <c r="Q23" s="43"/>
      <c r="R23" s="43"/>
      <c r="S23" s="43"/>
      <c r="T23" s="43"/>
      <c r="U23" s="43"/>
      <c r="V23" s="43"/>
      <c r="W23" s="43"/>
      <c r="X23" s="43"/>
      <c r="Y23" s="43"/>
    </row>
    <row r="24" spans="2:25" x14ac:dyDescent="0.35">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2:25" x14ac:dyDescent="0.35">
      <c r="B25" s="43"/>
      <c r="C25" s="43"/>
      <c r="D25" s="43"/>
      <c r="E25" s="43"/>
      <c r="F25" s="43"/>
      <c r="G25" s="43"/>
      <c r="H25" s="43"/>
      <c r="I25" s="43"/>
      <c r="J25" s="43"/>
      <c r="K25" s="43"/>
      <c r="L25" s="43"/>
      <c r="M25" s="43"/>
      <c r="N25" s="43"/>
      <c r="O25" s="43"/>
      <c r="P25" s="43"/>
      <c r="Q25" s="43"/>
      <c r="R25" s="43"/>
      <c r="S25" s="43"/>
      <c r="T25" s="43"/>
      <c r="U25" s="43"/>
      <c r="V25" s="43"/>
      <c r="W25" s="43"/>
      <c r="X25" s="43"/>
      <c r="Y25" s="43"/>
    </row>
    <row r="26" spans="2:25" x14ac:dyDescent="0.35">
      <c r="B26" s="43"/>
      <c r="C26" s="43"/>
      <c r="D26" s="43"/>
      <c r="E26" s="43"/>
      <c r="F26" s="43"/>
      <c r="G26" s="43"/>
      <c r="H26" s="43"/>
      <c r="I26" s="43"/>
      <c r="J26" s="43"/>
      <c r="K26" s="43"/>
      <c r="L26" s="43"/>
      <c r="M26" s="43"/>
      <c r="N26" s="43"/>
      <c r="O26" s="43"/>
      <c r="P26" s="43"/>
      <c r="Q26" s="43"/>
      <c r="R26" s="43"/>
      <c r="S26" s="43"/>
      <c r="T26" s="43"/>
      <c r="U26" s="43"/>
      <c r="V26" s="43"/>
      <c r="W26" s="43"/>
      <c r="X26" s="43"/>
      <c r="Y26" s="43"/>
    </row>
    <row r="27" spans="2:25" x14ac:dyDescent="0.35">
      <c r="B27" s="43"/>
      <c r="C27" s="43"/>
      <c r="D27" s="43"/>
      <c r="E27" s="43"/>
      <c r="F27" s="43"/>
      <c r="G27" s="43"/>
      <c r="H27" s="43"/>
      <c r="I27" s="43"/>
      <c r="J27" s="43"/>
      <c r="K27" s="43"/>
      <c r="L27" s="43"/>
      <c r="M27" s="43"/>
      <c r="N27" s="43"/>
      <c r="O27" s="43"/>
      <c r="P27" s="43"/>
      <c r="Q27" s="43"/>
      <c r="R27" s="43"/>
      <c r="S27" s="43"/>
      <c r="T27" s="43"/>
      <c r="U27" s="43"/>
      <c r="V27" s="43"/>
      <c r="W27" s="43"/>
      <c r="X27" s="43"/>
      <c r="Y27" s="43"/>
    </row>
    <row r="28" spans="2:25" x14ac:dyDescent="0.35">
      <c r="B28" s="43"/>
      <c r="C28" s="43"/>
      <c r="D28" s="43"/>
      <c r="E28" s="43"/>
      <c r="F28" s="43"/>
      <c r="G28" s="43"/>
      <c r="H28" s="43"/>
      <c r="I28" s="43"/>
      <c r="J28" s="43"/>
      <c r="K28" s="43"/>
      <c r="L28" s="43"/>
      <c r="M28" s="43"/>
      <c r="N28" s="43"/>
      <c r="O28" s="43"/>
      <c r="P28" s="43"/>
      <c r="Q28" s="43"/>
      <c r="R28" s="43"/>
      <c r="S28" s="43"/>
      <c r="T28" s="43"/>
      <c r="U28" s="43"/>
      <c r="V28" s="43"/>
      <c r="W28" s="43"/>
      <c r="X28" s="43"/>
      <c r="Y28" s="43"/>
    </row>
    <row r="29" spans="2:25" x14ac:dyDescent="0.35">
      <c r="B29" s="43"/>
      <c r="C29" s="43"/>
      <c r="D29" s="43"/>
      <c r="E29" s="43"/>
      <c r="F29" s="43"/>
      <c r="G29" s="43"/>
      <c r="H29" s="43"/>
      <c r="I29" s="43"/>
      <c r="J29" s="43"/>
      <c r="K29" s="43"/>
      <c r="L29" s="43"/>
      <c r="M29" s="43"/>
      <c r="N29" s="43"/>
      <c r="O29" s="43"/>
      <c r="P29" s="43"/>
      <c r="Q29" s="43"/>
      <c r="R29" s="43"/>
      <c r="S29" s="43"/>
      <c r="T29" s="43"/>
      <c r="U29" s="43"/>
      <c r="V29" s="43"/>
      <c r="W29" s="43"/>
      <c r="X29" s="43"/>
      <c r="Y29" s="43"/>
    </row>
    <row r="30" spans="2:25" x14ac:dyDescent="0.35">
      <c r="B30" s="43"/>
      <c r="C30" s="43"/>
      <c r="D30" s="43"/>
      <c r="E30" s="43"/>
      <c r="F30" s="43"/>
      <c r="G30" s="43"/>
      <c r="H30" s="43"/>
      <c r="I30" s="43"/>
      <c r="J30" s="43"/>
      <c r="K30" s="43"/>
      <c r="L30" s="43"/>
      <c r="M30" s="43"/>
      <c r="N30" s="43"/>
      <c r="O30" s="43"/>
      <c r="P30" s="43"/>
      <c r="Q30" s="43"/>
      <c r="R30" s="43"/>
      <c r="S30" s="43"/>
      <c r="T30" s="43"/>
      <c r="U30" s="43"/>
      <c r="V30" s="43"/>
      <c r="W30" s="43"/>
      <c r="X30" s="43"/>
      <c r="Y30" s="43"/>
    </row>
    <row r="31" spans="2:25" x14ac:dyDescent="0.35">
      <c r="B31" s="43"/>
      <c r="C31" s="43"/>
      <c r="D31" s="43"/>
      <c r="E31" s="43"/>
      <c r="F31" s="43"/>
      <c r="G31" s="43"/>
      <c r="H31" s="43"/>
      <c r="I31" s="43"/>
      <c r="J31" s="43"/>
      <c r="K31" s="43"/>
      <c r="L31" s="43"/>
      <c r="M31" s="43"/>
      <c r="N31" s="43"/>
      <c r="O31" s="43"/>
      <c r="P31" s="43"/>
      <c r="Q31" s="43"/>
      <c r="R31" s="43"/>
      <c r="S31" s="43"/>
      <c r="T31" s="43"/>
      <c r="U31" s="43"/>
      <c r="V31" s="43"/>
      <c r="W31" s="43"/>
      <c r="X31" s="43"/>
      <c r="Y31" s="43"/>
    </row>
    <row r="32" spans="2:25" x14ac:dyDescent="0.35">
      <c r="B32" s="43"/>
      <c r="C32" s="43"/>
      <c r="D32" s="43"/>
      <c r="E32" s="43"/>
      <c r="F32" s="43"/>
      <c r="G32" s="43"/>
      <c r="H32" s="43"/>
      <c r="I32" s="43"/>
      <c r="J32" s="43"/>
      <c r="K32" s="43"/>
      <c r="L32" s="43"/>
      <c r="M32" s="43"/>
      <c r="N32" s="43"/>
      <c r="O32" s="43"/>
      <c r="P32" s="43"/>
      <c r="Q32" s="43"/>
      <c r="R32" s="43"/>
      <c r="S32" s="43"/>
      <c r="T32" s="43"/>
      <c r="U32" s="43"/>
      <c r="V32" s="43"/>
      <c r="W32" s="43"/>
      <c r="X32" s="43"/>
      <c r="Y32" s="43"/>
    </row>
    <row r="33" spans="2:25" x14ac:dyDescent="0.35">
      <c r="B33" s="43"/>
      <c r="C33" s="43"/>
      <c r="D33" s="43"/>
      <c r="E33" s="43"/>
      <c r="F33" s="43"/>
      <c r="G33" s="43"/>
      <c r="H33" s="43"/>
      <c r="I33" s="43"/>
      <c r="J33" s="43"/>
      <c r="K33" s="43"/>
      <c r="L33" s="43"/>
      <c r="M33" s="43"/>
      <c r="N33" s="43"/>
      <c r="O33" s="43"/>
      <c r="P33" s="43"/>
      <c r="Q33" s="43"/>
      <c r="R33" s="43"/>
      <c r="S33" s="43"/>
      <c r="T33" s="43"/>
      <c r="U33" s="43"/>
      <c r="V33" s="43"/>
      <c r="W33" s="43"/>
      <c r="X33" s="43"/>
      <c r="Y33" s="43"/>
    </row>
    <row r="34" spans="2:25" x14ac:dyDescent="0.35">
      <c r="B34" s="43"/>
      <c r="C34" s="43"/>
      <c r="D34" s="43"/>
      <c r="E34" s="43"/>
      <c r="F34" s="43"/>
      <c r="G34" s="43"/>
      <c r="H34" s="43"/>
      <c r="I34" s="43"/>
      <c r="J34" s="43"/>
      <c r="K34" s="43"/>
      <c r="L34" s="43"/>
      <c r="M34" s="43"/>
      <c r="N34" s="43"/>
      <c r="O34" s="43"/>
      <c r="P34" s="43"/>
      <c r="Q34" s="43"/>
      <c r="R34" s="43"/>
      <c r="S34" s="43"/>
      <c r="T34" s="43"/>
      <c r="U34" s="43"/>
      <c r="V34" s="43"/>
      <c r="W34" s="43"/>
      <c r="X34" s="43"/>
      <c r="Y34" s="43"/>
    </row>
    <row r="35" spans="2:25" x14ac:dyDescent="0.35">
      <c r="B35" s="43"/>
      <c r="C35" s="43"/>
      <c r="D35" s="43"/>
      <c r="E35" s="43"/>
      <c r="F35" s="43"/>
      <c r="G35" s="43"/>
      <c r="H35" s="43"/>
      <c r="I35" s="43"/>
      <c r="J35" s="43"/>
      <c r="K35" s="43"/>
      <c r="L35" s="43"/>
      <c r="M35" s="43"/>
      <c r="N35" s="43"/>
      <c r="O35" s="43"/>
      <c r="P35" s="43"/>
      <c r="Q35" s="43"/>
      <c r="R35" s="43"/>
      <c r="S35" s="43"/>
      <c r="T35" s="43"/>
      <c r="U35" s="43"/>
      <c r="V35" s="43"/>
      <c r="W35" s="43"/>
      <c r="X35" s="43"/>
      <c r="Y35" s="43"/>
    </row>
    <row r="36" spans="2:25" x14ac:dyDescent="0.35">
      <c r="B36" s="43"/>
      <c r="C36" s="43"/>
      <c r="D36" s="43"/>
      <c r="E36" s="43"/>
      <c r="F36" s="43"/>
      <c r="G36" s="43"/>
      <c r="H36" s="43"/>
      <c r="I36" s="43"/>
      <c r="J36" s="43"/>
      <c r="K36" s="43"/>
      <c r="L36" s="43"/>
      <c r="M36" s="43"/>
      <c r="N36" s="43"/>
      <c r="O36" s="43"/>
      <c r="P36" s="43"/>
      <c r="Q36" s="43"/>
      <c r="R36" s="43"/>
      <c r="S36" s="43"/>
      <c r="T36" s="43"/>
      <c r="U36" s="43"/>
      <c r="V36" s="43"/>
      <c r="W36" s="43"/>
      <c r="X36" s="43"/>
      <c r="Y36" s="43"/>
    </row>
    <row r="37" spans="2:25" x14ac:dyDescent="0.35">
      <c r="B37" s="43"/>
      <c r="C37" s="43"/>
      <c r="D37" s="43"/>
      <c r="E37" s="43"/>
      <c r="F37" s="43"/>
      <c r="G37" s="43"/>
      <c r="H37" s="43"/>
      <c r="I37" s="43"/>
      <c r="J37" s="43"/>
      <c r="K37" s="43"/>
      <c r="L37" s="43"/>
      <c r="M37" s="43"/>
      <c r="N37" s="43"/>
      <c r="O37" s="43"/>
      <c r="P37" s="43"/>
      <c r="Q37" s="43"/>
      <c r="R37" s="43"/>
      <c r="S37" s="43"/>
      <c r="T37" s="43"/>
      <c r="U37" s="43"/>
      <c r="V37" s="43"/>
      <c r="W37" s="43"/>
      <c r="X37" s="43"/>
      <c r="Y37" s="43"/>
    </row>
    <row r="38" spans="2:25" x14ac:dyDescent="0.35">
      <c r="B38" s="43"/>
      <c r="C38" s="43"/>
      <c r="D38" s="43"/>
      <c r="E38" s="43"/>
      <c r="F38" s="43"/>
      <c r="G38" s="43"/>
      <c r="H38" s="43"/>
      <c r="I38" s="43"/>
      <c r="J38" s="43"/>
      <c r="K38" s="43"/>
      <c r="L38" s="43"/>
      <c r="M38" s="43"/>
      <c r="N38" s="43"/>
      <c r="O38" s="43"/>
      <c r="P38" s="43"/>
      <c r="Q38" s="43"/>
      <c r="R38" s="43"/>
      <c r="S38" s="43"/>
      <c r="T38" s="43"/>
      <c r="U38" s="43"/>
      <c r="V38" s="43"/>
      <c r="W38" s="43"/>
      <c r="X38" s="43"/>
      <c r="Y38" s="43"/>
    </row>
    <row r="39" spans="2:25" x14ac:dyDescent="0.35">
      <c r="B39" s="43"/>
      <c r="C39" s="43"/>
      <c r="D39" s="43"/>
      <c r="E39" s="43"/>
      <c r="F39" s="43"/>
      <c r="G39" s="43"/>
      <c r="H39" s="43"/>
      <c r="I39" s="43"/>
      <c r="J39" s="43"/>
      <c r="K39" s="43"/>
      <c r="L39" s="43"/>
      <c r="M39" s="43"/>
      <c r="N39" s="43"/>
      <c r="O39" s="43"/>
      <c r="P39" s="43"/>
      <c r="Q39" s="43"/>
      <c r="R39" s="43"/>
      <c r="S39" s="43"/>
      <c r="T39" s="43"/>
      <c r="U39" s="43"/>
      <c r="V39" s="43"/>
      <c r="W39" s="43"/>
      <c r="X39" s="43"/>
      <c r="Y39" s="43"/>
    </row>
    <row r="40" spans="2:25" x14ac:dyDescent="0.35">
      <c r="B40" s="43"/>
      <c r="C40" s="43"/>
      <c r="D40" s="43"/>
      <c r="E40" s="43"/>
      <c r="F40" s="43"/>
      <c r="G40" s="43"/>
      <c r="H40" s="43"/>
      <c r="I40" s="43"/>
      <c r="J40" s="43"/>
      <c r="K40" s="43"/>
      <c r="L40" s="43"/>
      <c r="M40" s="43"/>
      <c r="N40" s="43"/>
      <c r="O40" s="43"/>
      <c r="P40" s="43"/>
      <c r="Q40" s="43"/>
      <c r="R40" s="43"/>
      <c r="S40" s="43"/>
      <c r="T40" s="43"/>
      <c r="U40" s="43"/>
      <c r="V40" s="43"/>
      <c r="W40" s="43"/>
      <c r="X40" s="43"/>
      <c r="Y40" s="43"/>
    </row>
    <row r="41" spans="2:25" x14ac:dyDescent="0.35">
      <c r="B41" s="43"/>
      <c r="C41" s="43"/>
      <c r="D41" s="43"/>
      <c r="E41" s="43"/>
      <c r="F41" s="43"/>
      <c r="G41" s="43"/>
      <c r="H41" s="43"/>
      <c r="I41" s="43"/>
      <c r="J41" s="43"/>
      <c r="K41" s="43"/>
      <c r="L41" s="43"/>
      <c r="M41" s="43"/>
      <c r="N41" s="43"/>
      <c r="O41" s="43"/>
      <c r="P41" s="43"/>
      <c r="Q41" s="43"/>
      <c r="R41" s="43"/>
      <c r="S41" s="43"/>
      <c r="T41" s="43"/>
      <c r="U41" s="43"/>
      <c r="V41" s="43"/>
      <c r="W41" s="43"/>
      <c r="X41" s="43"/>
      <c r="Y41" s="43"/>
    </row>
    <row r="42" spans="2:25" x14ac:dyDescent="0.35">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2:25" x14ac:dyDescent="0.35">
      <c r="B43" s="43"/>
      <c r="C43" s="43"/>
      <c r="D43" s="43"/>
      <c r="E43" s="43"/>
      <c r="F43" s="43"/>
      <c r="G43" s="43"/>
      <c r="H43" s="43"/>
      <c r="I43" s="43"/>
      <c r="J43" s="43"/>
      <c r="K43" s="43"/>
      <c r="L43" s="43"/>
      <c r="M43" s="43"/>
      <c r="N43" s="43"/>
      <c r="O43" s="43"/>
      <c r="P43" s="43"/>
      <c r="Q43" s="43"/>
      <c r="R43" s="43"/>
      <c r="S43" s="43"/>
      <c r="T43" s="43"/>
      <c r="U43" s="43"/>
      <c r="V43" s="43"/>
      <c r="W43" s="43"/>
      <c r="X43" s="43"/>
      <c r="Y43" s="43"/>
    </row>
    <row r="44" spans="2:25" x14ac:dyDescent="0.35">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2:25" x14ac:dyDescent="0.35">
      <c r="B45" s="43"/>
      <c r="C45" s="43"/>
      <c r="D45" s="43"/>
      <c r="E45" s="43"/>
      <c r="F45" s="43"/>
      <c r="G45" s="43"/>
      <c r="H45" s="43"/>
      <c r="I45" s="43"/>
      <c r="J45" s="43"/>
      <c r="K45" s="43"/>
      <c r="L45" s="43"/>
      <c r="M45" s="43"/>
      <c r="N45" s="43"/>
      <c r="O45" s="43"/>
      <c r="P45" s="43"/>
      <c r="Q45" s="43"/>
      <c r="R45" s="43"/>
      <c r="S45" s="43"/>
      <c r="T45" s="43"/>
      <c r="U45" s="43"/>
      <c r="V45" s="43"/>
      <c r="W45" s="43"/>
      <c r="X45" s="43"/>
      <c r="Y45" s="43"/>
    </row>
    <row r="46" spans="2:25" x14ac:dyDescent="0.35">
      <c r="B46" s="43"/>
      <c r="C46" s="43"/>
      <c r="D46" s="43"/>
      <c r="E46" s="43"/>
      <c r="F46" s="43"/>
      <c r="G46" s="43"/>
      <c r="H46" s="43"/>
      <c r="I46" s="43"/>
      <c r="J46" s="43"/>
      <c r="K46" s="43"/>
      <c r="L46" s="43"/>
      <c r="M46" s="43"/>
      <c r="N46" s="43"/>
      <c r="O46" s="43"/>
      <c r="P46" s="43"/>
      <c r="Q46" s="43"/>
      <c r="R46" s="43"/>
      <c r="S46" s="43"/>
      <c r="T46" s="43"/>
      <c r="U46" s="43"/>
      <c r="V46" s="43"/>
      <c r="W46" s="43"/>
      <c r="X46" s="43"/>
      <c r="Y46" s="43"/>
    </row>
    <row r="47" spans="2:25" x14ac:dyDescent="0.35">
      <c r="B47" s="43"/>
      <c r="C47" s="43"/>
      <c r="D47" s="43"/>
      <c r="E47" s="43"/>
      <c r="F47" s="43"/>
      <c r="G47" s="43"/>
      <c r="H47" s="43"/>
      <c r="I47" s="43"/>
      <c r="J47" s="43"/>
      <c r="K47" s="43"/>
      <c r="L47" s="43"/>
      <c r="M47" s="43"/>
      <c r="N47" s="43"/>
      <c r="O47" s="43"/>
      <c r="P47" s="43"/>
      <c r="Q47" s="43"/>
      <c r="R47" s="43"/>
      <c r="S47" s="43"/>
      <c r="T47" s="43"/>
      <c r="U47" s="43"/>
      <c r="V47" s="43"/>
      <c r="W47" s="43"/>
      <c r="X47" s="43"/>
      <c r="Y47" s="43"/>
    </row>
    <row r="48" spans="2:25" x14ac:dyDescent="0.35">
      <c r="B48" s="43"/>
      <c r="C48" s="43"/>
      <c r="D48" s="43"/>
      <c r="E48" s="43"/>
      <c r="F48" s="43"/>
      <c r="G48" s="43"/>
      <c r="H48" s="43"/>
      <c r="I48" s="43"/>
      <c r="J48" s="43"/>
      <c r="K48" s="43"/>
      <c r="L48" s="43"/>
      <c r="M48" s="43"/>
      <c r="N48" s="43"/>
      <c r="O48" s="43"/>
      <c r="P48" s="43"/>
      <c r="Q48" s="43"/>
      <c r="R48" s="43"/>
      <c r="S48" s="43"/>
      <c r="T48" s="43"/>
      <c r="U48" s="43"/>
      <c r="V48" s="43"/>
      <c r="W48" s="43"/>
      <c r="X48" s="43"/>
      <c r="Y48" s="43"/>
    </row>
  </sheetData>
  <mergeCells count="9">
    <mergeCell ref="T3:Y4"/>
    <mergeCell ref="T5:Y7"/>
    <mergeCell ref="B2:Y2"/>
    <mergeCell ref="B3:G4"/>
    <mergeCell ref="B5:G7"/>
    <mergeCell ref="H3:M4"/>
    <mergeCell ref="H5:M7"/>
    <mergeCell ref="N3:S4"/>
    <mergeCell ref="N5:S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5800-A272-48E4-888D-6B434715044A}">
  <dimension ref="A1"/>
  <sheetViews>
    <sheetView showGridLines="0" zoomScaleNormal="100" workbookViewId="0">
      <selection activeCell="I52" sqref="I5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B4D9-C81D-42C3-9D6E-2B38ACAE6F06}">
  <dimension ref="A1"/>
  <sheetViews>
    <sheetView showGridLines="0" workbookViewId="0">
      <selection activeCell="G56" sqref="G56"/>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A8EB-055F-4F76-ADA2-8F18ABD4C3AB}">
  <dimension ref="A1:O290"/>
  <sheetViews>
    <sheetView workbookViewId="0">
      <selection activeCell="E54" sqref="E54"/>
    </sheetView>
  </sheetViews>
  <sheetFormatPr defaultRowHeight="16" x14ac:dyDescent="0.35"/>
  <cols>
    <col min="1" max="1" width="14.453125" style="7" bestFit="1" customWidth="1"/>
    <col min="2" max="3" width="18.81640625" style="7" bestFit="1" customWidth="1"/>
    <col min="4" max="4" width="21.6328125" style="7" bestFit="1" customWidth="1"/>
    <col min="5" max="5" width="27.81640625" style="7" bestFit="1" customWidth="1"/>
    <col min="6" max="6" width="8.7265625" style="7"/>
    <col min="7" max="7" width="11.08984375" style="7" bestFit="1" customWidth="1"/>
    <col min="8" max="8" width="16.36328125" style="7" bestFit="1" customWidth="1"/>
    <col min="9" max="9" width="21.08984375" style="7" bestFit="1" customWidth="1"/>
    <col min="10" max="10" width="8.7265625" style="7"/>
    <col min="11" max="11" width="16.36328125" style="7" bestFit="1" customWidth="1"/>
    <col min="12" max="12" width="23" style="7" bestFit="1" customWidth="1"/>
    <col min="13" max="13" width="21.6328125" style="7" bestFit="1" customWidth="1"/>
    <col min="14" max="14" width="27.81640625" style="7" bestFit="1" customWidth="1"/>
    <col min="15" max="15" width="18.26953125" style="7" bestFit="1" customWidth="1"/>
    <col min="16" max="16384" width="8.7265625" style="7"/>
  </cols>
  <sheetData>
    <row r="1" spans="1:15" x14ac:dyDescent="0.35">
      <c r="A1" s="14" t="s">
        <v>59</v>
      </c>
      <c r="B1" s="14"/>
      <c r="C1" s="14"/>
      <c r="D1" s="14"/>
      <c r="H1" s="14" t="s">
        <v>60</v>
      </c>
      <c r="I1" s="14"/>
      <c r="K1" s="14" t="s">
        <v>75</v>
      </c>
      <c r="L1" s="14"/>
      <c r="M1" s="14"/>
      <c r="N1" s="14"/>
      <c r="O1" s="14"/>
    </row>
    <row r="2" spans="1:15" x14ac:dyDescent="0.4">
      <c r="A2" s="8" t="s">
        <v>0</v>
      </c>
      <c r="B2" s="8" t="s">
        <v>1</v>
      </c>
      <c r="C2" s="8" t="s">
        <v>2</v>
      </c>
      <c r="D2" s="8" t="s">
        <v>3</v>
      </c>
      <c r="H2" s="9" t="s">
        <v>5</v>
      </c>
      <c r="I2" s="9" t="s">
        <v>6</v>
      </c>
      <c r="K2" s="8" t="s">
        <v>5</v>
      </c>
      <c r="L2" s="8" t="s">
        <v>66</v>
      </c>
      <c r="M2" s="8" t="s">
        <v>67</v>
      </c>
      <c r="N2" s="8" t="s">
        <v>68</v>
      </c>
      <c r="O2" s="8" t="s">
        <v>1</v>
      </c>
    </row>
    <row r="3" spans="1:15" x14ac:dyDescent="0.4">
      <c r="A3" s="7" t="s">
        <v>4</v>
      </c>
      <c r="B3" s="10">
        <v>3930187.55</v>
      </c>
      <c r="C3" s="11">
        <v>44562</v>
      </c>
      <c r="D3" s="11">
        <v>46022</v>
      </c>
      <c r="H3" s="12" t="s">
        <v>7</v>
      </c>
      <c r="I3" s="13">
        <v>48143.95</v>
      </c>
      <c r="K3" s="7" t="s">
        <v>7</v>
      </c>
      <c r="L3" s="7" t="s">
        <v>69</v>
      </c>
      <c r="M3" s="7">
        <v>75</v>
      </c>
      <c r="N3" s="10">
        <v>435.44920000000002</v>
      </c>
      <c r="O3" s="10">
        <v>32658.69</v>
      </c>
    </row>
    <row r="4" spans="1:15" x14ac:dyDescent="0.4">
      <c r="H4" s="12" t="s">
        <v>8</v>
      </c>
      <c r="I4" s="13">
        <v>46257.35</v>
      </c>
      <c r="K4" s="7" t="s">
        <v>7</v>
      </c>
      <c r="L4" s="7" t="s">
        <v>70</v>
      </c>
      <c r="M4" s="7">
        <v>61</v>
      </c>
      <c r="N4" s="10">
        <v>168.64442600000001</v>
      </c>
      <c r="O4" s="10">
        <v>10287.31</v>
      </c>
    </row>
    <row r="5" spans="1:15" x14ac:dyDescent="0.4">
      <c r="A5" s="14" t="s">
        <v>61</v>
      </c>
      <c r="B5" s="14"/>
      <c r="C5" s="14"/>
      <c r="H5" s="12" t="s">
        <v>9</v>
      </c>
      <c r="I5" s="13">
        <v>53541.25</v>
      </c>
      <c r="K5" s="7" t="s">
        <v>7</v>
      </c>
      <c r="L5" s="7" t="s">
        <v>71</v>
      </c>
      <c r="M5" s="7">
        <v>63</v>
      </c>
      <c r="N5" s="10">
        <v>31.66</v>
      </c>
      <c r="O5" s="10">
        <v>1994.58</v>
      </c>
    </row>
    <row r="6" spans="1:15" x14ac:dyDescent="0.4">
      <c r="A6" s="9" t="s">
        <v>55</v>
      </c>
      <c r="B6" s="9" t="s">
        <v>0</v>
      </c>
      <c r="C6" s="9" t="s">
        <v>1</v>
      </c>
      <c r="H6" s="12" t="s">
        <v>10</v>
      </c>
      <c r="I6" s="13">
        <v>49505.25</v>
      </c>
      <c r="K6" s="7" t="s">
        <v>7</v>
      </c>
      <c r="L6" s="7" t="s">
        <v>72</v>
      </c>
      <c r="M6" s="7">
        <v>66</v>
      </c>
      <c r="N6" s="10">
        <v>30.010455</v>
      </c>
      <c r="O6" s="10">
        <v>1980.69</v>
      </c>
    </row>
    <row r="7" spans="1:15" x14ac:dyDescent="0.4">
      <c r="A7" s="12" t="s">
        <v>56</v>
      </c>
      <c r="B7" s="12" t="s">
        <v>4</v>
      </c>
      <c r="C7" s="13">
        <v>3930187.55</v>
      </c>
      <c r="H7" s="12" t="s">
        <v>11</v>
      </c>
      <c r="I7" s="13">
        <v>58326.64</v>
      </c>
      <c r="K7" s="7" t="s">
        <v>7</v>
      </c>
      <c r="L7" s="7" t="s">
        <v>73</v>
      </c>
      <c r="M7" s="7">
        <v>69</v>
      </c>
      <c r="N7" s="10">
        <v>9.7040579999999999</v>
      </c>
      <c r="O7" s="10">
        <v>669.58</v>
      </c>
    </row>
    <row r="8" spans="1:15" x14ac:dyDescent="0.4">
      <c r="A8" s="12" t="s">
        <v>56</v>
      </c>
      <c r="B8" s="12" t="s">
        <v>57</v>
      </c>
      <c r="C8" s="13">
        <v>3417850.01</v>
      </c>
      <c r="H8" s="12" t="s">
        <v>12</v>
      </c>
      <c r="I8" s="13">
        <v>48683.24</v>
      </c>
      <c r="K8" s="7" t="s">
        <v>7</v>
      </c>
      <c r="L8" s="7" t="s">
        <v>74</v>
      </c>
      <c r="M8" s="7">
        <v>20</v>
      </c>
      <c r="N8" s="10">
        <v>27.655000000000001</v>
      </c>
      <c r="O8" s="10">
        <v>553.1</v>
      </c>
    </row>
    <row r="9" spans="1:15" x14ac:dyDescent="0.4">
      <c r="A9" s="12" t="s">
        <v>56</v>
      </c>
      <c r="B9" s="12" t="s">
        <v>58</v>
      </c>
      <c r="C9" s="13">
        <v>648812.56000000006</v>
      </c>
      <c r="H9" s="12" t="s">
        <v>13</v>
      </c>
      <c r="I9" s="13">
        <v>57545.77</v>
      </c>
      <c r="K9" s="7" t="s">
        <v>8</v>
      </c>
      <c r="L9" s="7" t="s">
        <v>69</v>
      </c>
      <c r="M9" s="7">
        <v>78</v>
      </c>
      <c r="N9" s="10">
        <v>420.10384599999998</v>
      </c>
      <c r="O9" s="10">
        <v>32768.1</v>
      </c>
    </row>
    <row r="10" spans="1:15" x14ac:dyDescent="0.4">
      <c r="H10" s="12" t="s">
        <v>14</v>
      </c>
      <c r="I10" s="13">
        <v>48656.98</v>
      </c>
      <c r="K10" s="7" t="s">
        <v>8</v>
      </c>
      <c r="L10" s="7" t="s">
        <v>70</v>
      </c>
      <c r="M10" s="7">
        <v>46</v>
      </c>
      <c r="N10" s="10">
        <v>169.154348</v>
      </c>
      <c r="O10" s="10">
        <v>7781.1</v>
      </c>
    </row>
    <row r="11" spans="1:15" x14ac:dyDescent="0.4">
      <c r="A11" s="14" t="s">
        <v>89</v>
      </c>
      <c r="B11" s="14"/>
      <c r="C11" s="14"/>
      <c r="D11" s="14"/>
      <c r="E11" s="14"/>
      <c r="H11" s="12" t="s">
        <v>15</v>
      </c>
      <c r="I11" s="13">
        <v>42839.1</v>
      </c>
      <c r="K11" s="7" t="s">
        <v>8</v>
      </c>
      <c r="L11" s="7" t="s">
        <v>72</v>
      </c>
      <c r="M11" s="7">
        <v>61</v>
      </c>
      <c r="N11" s="10">
        <v>33.124262000000002</v>
      </c>
      <c r="O11" s="10">
        <v>2020.58</v>
      </c>
    </row>
    <row r="12" spans="1:15" x14ac:dyDescent="0.4">
      <c r="A12" s="3" t="s">
        <v>76</v>
      </c>
      <c r="B12" s="3" t="s">
        <v>77</v>
      </c>
      <c r="C12" s="3" t="s">
        <v>1</v>
      </c>
      <c r="D12" s="3" t="s">
        <v>67</v>
      </c>
      <c r="E12" s="3" t="s">
        <v>68</v>
      </c>
      <c r="H12" s="12" t="s">
        <v>16</v>
      </c>
      <c r="I12" s="13">
        <v>49508.42</v>
      </c>
      <c r="K12" s="7" t="s">
        <v>8</v>
      </c>
      <c r="L12" s="7" t="s">
        <v>71</v>
      </c>
      <c r="M12" s="7">
        <v>61</v>
      </c>
      <c r="N12" s="10">
        <v>30.586393000000001</v>
      </c>
      <c r="O12" s="10">
        <v>1865.77</v>
      </c>
    </row>
    <row r="13" spans="1:15" x14ac:dyDescent="0.4">
      <c r="A13" s="1" t="s">
        <v>78</v>
      </c>
      <c r="B13" s="1">
        <v>724</v>
      </c>
      <c r="C13" s="2">
        <v>618846.25</v>
      </c>
      <c r="D13" s="1">
        <v>4457</v>
      </c>
      <c r="E13" s="2">
        <v>138.84816000000001</v>
      </c>
      <c r="H13" s="12" t="s">
        <v>17</v>
      </c>
      <c r="I13" s="13">
        <v>44519.86</v>
      </c>
      <c r="K13" s="7" t="s">
        <v>8</v>
      </c>
      <c r="L13" s="7" t="s">
        <v>74</v>
      </c>
      <c r="M13" s="7">
        <v>36</v>
      </c>
      <c r="N13" s="10">
        <v>27.37</v>
      </c>
      <c r="O13" s="10">
        <v>985.32</v>
      </c>
    </row>
    <row r="14" spans="1:15" x14ac:dyDescent="0.4">
      <c r="A14" s="1" t="s">
        <v>79</v>
      </c>
      <c r="B14" s="1">
        <v>728</v>
      </c>
      <c r="C14" s="2">
        <v>541670.66</v>
      </c>
      <c r="D14" s="1">
        <v>4320</v>
      </c>
      <c r="E14" s="2">
        <v>125.38672699999999</v>
      </c>
      <c r="H14" s="12" t="s">
        <v>18</v>
      </c>
      <c r="I14" s="13">
        <v>50885.58</v>
      </c>
      <c r="K14" s="7" t="s">
        <v>8</v>
      </c>
      <c r="L14" s="7" t="s">
        <v>73</v>
      </c>
      <c r="M14" s="7">
        <v>72</v>
      </c>
      <c r="N14" s="10">
        <v>11.617777999999999</v>
      </c>
      <c r="O14" s="10">
        <v>836.48</v>
      </c>
    </row>
    <row r="15" spans="1:15" x14ac:dyDescent="0.4">
      <c r="A15" s="1" t="s">
        <v>80</v>
      </c>
      <c r="B15" s="1">
        <v>722</v>
      </c>
      <c r="C15" s="2">
        <v>332620.43</v>
      </c>
      <c r="D15" s="1">
        <v>2228</v>
      </c>
      <c r="E15" s="2">
        <v>149.29103699999999</v>
      </c>
      <c r="H15" s="12" t="s">
        <v>19</v>
      </c>
      <c r="I15" s="13">
        <v>70589.710000000006</v>
      </c>
      <c r="K15" s="7" t="s">
        <v>9</v>
      </c>
      <c r="L15" s="7" t="s">
        <v>69</v>
      </c>
      <c r="M15" s="7">
        <v>77</v>
      </c>
      <c r="N15" s="10">
        <v>478.65662300000002</v>
      </c>
      <c r="O15" s="10">
        <v>36856.559999999998</v>
      </c>
    </row>
    <row r="16" spans="1:15" x14ac:dyDescent="0.4">
      <c r="A16" s="1" t="s">
        <v>81</v>
      </c>
      <c r="B16" s="1">
        <v>719</v>
      </c>
      <c r="C16" s="2">
        <v>331956.13</v>
      </c>
      <c r="D16" s="1">
        <v>2241</v>
      </c>
      <c r="E16" s="2">
        <v>148.12857199999999</v>
      </c>
      <c r="H16" s="12" t="s">
        <v>20</v>
      </c>
      <c r="I16" s="13">
        <v>74547.62</v>
      </c>
      <c r="K16" s="7" t="s">
        <v>9</v>
      </c>
      <c r="L16" s="7" t="s">
        <v>70</v>
      </c>
      <c r="M16" s="7">
        <v>68</v>
      </c>
      <c r="N16" s="10">
        <v>177.76</v>
      </c>
      <c r="O16" s="10">
        <v>12087.68</v>
      </c>
    </row>
    <row r="17" spans="1:15" x14ac:dyDescent="0.4">
      <c r="A17" s="1" t="s">
        <v>82</v>
      </c>
      <c r="B17" s="1">
        <v>721</v>
      </c>
      <c r="C17" s="2">
        <v>331667.08</v>
      </c>
      <c r="D17" s="1">
        <v>2280</v>
      </c>
      <c r="E17" s="2">
        <v>145.468018</v>
      </c>
      <c r="H17" s="12" t="s">
        <v>21</v>
      </c>
      <c r="I17" s="13">
        <v>71490.8</v>
      </c>
      <c r="K17" s="7" t="s">
        <v>9</v>
      </c>
      <c r="L17" s="7" t="s">
        <v>71</v>
      </c>
      <c r="M17" s="7">
        <v>60</v>
      </c>
      <c r="N17" s="10">
        <v>30.407</v>
      </c>
      <c r="O17" s="10">
        <v>1824.42</v>
      </c>
    </row>
    <row r="18" spans="1:15" x14ac:dyDescent="0.4">
      <c r="A18" s="1" t="s">
        <v>83</v>
      </c>
      <c r="B18" s="1">
        <v>727</v>
      </c>
      <c r="C18" s="2">
        <v>330848.14</v>
      </c>
      <c r="D18" s="1">
        <v>2235</v>
      </c>
      <c r="E18" s="2">
        <v>148.03048799999999</v>
      </c>
      <c r="H18" s="12" t="s">
        <v>22</v>
      </c>
      <c r="I18" s="13">
        <v>71671.429999999993</v>
      </c>
      <c r="K18" s="7" t="s">
        <v>9</v>
      </c>
      <c r="L18" s="7" t="s">
        <v>72</v>
      </c>
      <c r="M18" s="7">
        <v>53</v>
      </c>
      <c r="N18" s="10">
        <v>31.456037999999999</v>
      </c>
      <c r="O18" s="10">
        <v>1667.17</v>
      </c>
    </row>
    <row r="19" spans="1:15" x14ac:dyDescent="0.4">
      <c r="A19" s="1" t="s">
        <v>84</v>
      </c>
      <c r="B19" s="1">
        <v>729</v>
      </c>
      <c r="C19" s="2">
        <v>308979.01</v>
      </c>
      <c r="D19" s="1">
        <v>2226</v>
      </c>
      <c r="E19" s="2">
        <v>138.804587</v>
      </c>
      <c r="H19" s="12" t="s">
        <v>23</v>
      </c>
      <c r="I19" s="13">
        <v>76942.62</v>
      </c>
      <c r="K19" s="7" t="s">
        <v>9</v>
      </c>
      <c r="L19" s="7" t="s">
        <v>73</v>
      </c>
      <c r="M19" s="7">
        <v>62</v>
      </c>
      <c r="N19" s="10">
        <v>9.9714519999999993</v>
      </c>
      <c r="O19" s="10">
        <v>618.23</v>
      </c>
    </row>
    <row r="20" spans="1:15" x14ac:dyDescent="0.4">
      <c r="A20" s="1" t="s">
        <v>85</v>
      </c>
      <c r="B20" s="1">
        <v>720</v>
      </c>
      <c r="C20" s="2">
        <v>302270.07</v>
      </c>
      <c r="D20" s="1">
        <v>2277</v>
      </c>
      <c r="E20" s="2">
        <v>132.74926199999999</v>
      </c>
      <c r="H20" s="12" t="s">
        <v>24</v>
      </c>
      <c r="I20" s="13">
        <v>75958.75</v>
      </c>
      <c r="K20" s="7" t="s">
        <v>9</v>
      </c>
      <c r="L20" s="7" t="s">
        <v>74</v>
      </c>
      <c r="M20" s="7">
        <v>20</v>
      </c>
      <c r="N20" s="10">
        <v>24.359500000000001</v>
      </c>
      <c r="O20" s="10">
        <v>487.19</v>
      </c>
    </row>
    <row r="21" spans="1:15" x14ac:dyDescent="0.4">
      <c r="A21" s="1" t="s">
        <v>86</v>
      </c>
      <c r="B21" s="1">
        <v>726</v>
      </c>
      <c r="C21" s="2">
        <v>297891.71000000002</v>
      </c>
      <c r="D21" s="1">
        <v>2271</v>
      </c>
      <c r="E21" s="2">
        <v>131.172043</v>
      </c>
      <c r="H21" s="12" t="s">
        <v>25</v>
      </c>
      <c r="I21" s="13">
        <v>74438.539999999994</v>
      </c>
      <c r="K21" s="7" t="s">
        <v>10</v>
      </c>
      <c r="L21" s="7" t="s">
        <v>69</v>
      </c>
      <c r="M21" s="7">
        <v>80</v>
      </c>
      <c r="N21" s="10">
        <v>408.73824999999999</v>
      </c>
      <c r="O21" s="10">
        <v>32699.06</v>
      </c>
    </row>
    <row r="22" spans="1:15" x14ac:dyDescent="0.4">
      <c r="A22" s="1" t="s">
        <v>87</v>
      </c>
      <c r="B22" s="1">
        <v>723</v>
      </c>
      <c r="C22" s="2">
        <v>273835.24</v>
      </c>
      <c r="D22" s="1">
        <v>2144</v>
      </c>
      <c r="E22" s="2">
        <v>127.72166</v>
      </c>
      <c r="H22" s="12" t="s">
        <v>26</v>
      </c>
      <c r="I22" s="13">
        <v>71626.47</v>
      </c>
      <c r="K22" s="7" t="s">
        <v>10</v>
      </c>
      <c r="L22" s="7" t="s">
        <v>70</v>
      </c>
      <c r="M22" s="7">
        <v>65</v>
      </c>
      <c r="N22" s="10">
        <v>184.26446200000001</v>
      </c>
      <c r="O22" s="10">
        <v>11977.19</v>
      </c>
    </row>
    <row r="23" spans="1:15" x14ac:dyDescent="0.4">
      <c r="A23" s="1" t="s">
        <v>88</v>
      </c>
      <c r="B23" s="1">
        <v>725</v>
      </c>
      <c r="C23" s="2">
        <v>259602.83</v>
      </c>
      <c r="D23" s="1">
        <v>1937</v>
      </c>
      <c r="E23" s="2">
        <v>134.023144</v>
      </c>
      <c r="H23" s="12" t="s">
        <v>27</v>
      </c>
      <c r="I23" s="13">
        <v>86388.39</v>
      </c>
      <c r="K23" s="7" t="s">
        <v>10</v>
      </c>
      <c r="L23" s="7" t="s">
        <v>71</v>
      </c>
      <c r="M23" s="7">
        <v>61</v>
      </c>
      <c r="N23" s="10">
        <v>29.305738000000002</v>
      </c>
      <c r="O23" s="10">
        <v>1787.65</v>
      </c>
    </row>
    <row r="24" spans="1:15" x14ac:dyDescent="0.4">
      <c r="H24" s="12" t="s">
        <v>28</v>
      </c>
      <c r="I24" s="13">
        <v>76570.52</v>
      </c>
      <c r="K24" s="7" t="s">
        <v>10</v>
      </c>
      <c r="L24" s="7" t="s">
        <v>72</v>
      </c>
      <c r="M24" s="7">
        <v>59</v>
      </c>
      <c r="N24" s="10">
        <v>29.155085</v>
      </c>
      <c r="O24" s="10">
        <v>1720.15</v>
      </c>
    </row>
    <row r="25" spans="1:15" x14ac:dyDescent="0.4">
      <c r="H25" s="12" t="s">
        <v>29</v>
      </c>
      <c r="I25" s="13">
        <v>81150.820000000007</v>
      </c>
      <c r="K25" s="7" t="s">
        <v>10</v>
      </c>
      <c r="L25" s="7" t="s">
        <v>73</v>
      </c>
      <c r="M25" s="7">
        <v>71</v>
      </c>
      <c r="N25" s="10">
        <v>9.8298590000000008</v>
      </c>
      <c r="O25" s="10">
        <v>697.92</v>
      </c>
    </row>
    <row r="26" spans="1:15" x14ac:dyDescent="0.4">
      <c r="H26" s="12" t="s">
        <v>30</v>
      </c>
      <c r="I26" s="13">
        <v>85799</v>
      </c>
      <c r="K26" s="7" t="s">
        <v>10</v>
      </c>
      <c r="L26" s="7" t="s">
        <v>74</v>
      </c>
      <c r="M26" s="7">
        <v>21</v>
      </c>
      <c r="N26" s="10">
        <v>29.68</v>
      </c>
      <c r="O26" s="10">
        <v>623.28</v>
      </c>
    </row>
    <row r="27" spans="1:15" x14ac:dyDescent="0.4">
      <c r="H27" s="12" t="s">
        <v>31</v>
      </c>
      <c r="I27" s="13">
        <v>83362.33</v>
      </c>
      <c r="K27" s="7" t="s">
        <v>11</v>
      </c>
      <c r="L27" s="7" t="s">
        <v>69</v>
      </c>
      <c r="M27" s="7">
        <v>81</v>
      </c>
      <c r="N27" s="10">
        <v>457.03691400000002</v>
      </c>
      <c r="O27" s="10">
        <v>37019.99</v>
      </c>
    </row>
    <row r="28" spans="1:15" x14ac:dyDescent="0.4">
      <c r="H28" s="12" t="s">
        <v>32</v>
      </c>
      <c r="I28" s="13">
        <v>65035.27</v>
      </c>
      <c r="K28" s="7" t="s">
        <v>11</v>
      </c>
      <c r="L28" s="7" t="s">
        <v>70</v>
      </c>
      <c r="M28" s="7">
        <v>85</v>
      </c>
      <c r="N28" s="10">
        <v>185.305294</v>
      </c>
      <c r="O28" s="10">
        <v>15750.95</v>
      </c>
    </row>
    <row r="29" spans="1:15" x14ac:dyDescent="0.4">
      <c r="H29" s="12" t="s">
        <v>33</v>
      </c>
      <c r="I29" s="13">
        <v>73851.009999999995</v>
      </c>
      <c r="K29" s="7" t="s">
        <v>11</v>
      </c>
      <c r="L29" s="7" t="s">
        <v>72</v>
      </c>
      <c r="M29" s="7">
        <v>63</v>
      </c>
      <c r="N29" s="10">
        <v>32.503650999999998</v>
      </c>
      <c r="O29" s="10">
        <v>2047.73</v>
      </c>
    </row>
    <row r="30" spans="1:15" x14ac:dyDescent="0.4">
      <c r="H30" s="12" t="s">
        <v>34</v>
      </c>
      <c r="I30" s="13">
        <v>74763.039999999994</v>
      </c>
      <c r="K30" s="7" t="s">
        <v>11</v>
      </c>
      <c r="L30" s="7" t="s">
        <v>71</v>
      </c>
      <c r="M30" s="7">
        <v>67</v>
      </c>
      <c r="N30" s="10">
        <v>29.019103999999999</v>
      </c>
      <c r="O30" s="10">
        <v>1944.28</v>
      </c>
    </row>
    <row r="31" spans="1:15" x14ac:dyDescent="0.4">
      <c r="H31" s="12" t="s">
        <v>35</v>
      </c>
      <c r="I31" s="13">
        <v>78325.77</v>
      </c>
      <c r="K31" s="7" t="s">
        <v>11</v>
      </c>
      <c r="L31" s="7" t="s">
        <v>74</v>
      </c>
      <c r="M31" s="7">
        <v>29</v>
      </c>
      <c r="N31" s="10">
        <v>27.174137999999999</v>
      </c>
      <c r="O31" s="10">
        <v>788.05</v>
      </c>
    </row>
    <row r="32" spans="1:15" x14ac:dyDescent="0.4">
      <c r="H32" s="12" t="s">
        <v>36</v>
      </c>
      <c r="I32" s="13">
        <v>72071.520000000004</v>
      </c>
      <c r="K32" s="7" t="s">
        <v>11</v>
      </c>
      <c r="L32" s="7" t="s">
        <v>73</v>
      </c>
      <c r="M32" s="7">
        <v>78</v>
      </c>
      <c r="N32" s="10">
        <v>9.9441030000000001</v>
      </c>
      <c r="O32" s="10">
        <v>775.64</v>
      </c>
    </row>
    <row r="33" spans="8:15" x14ac:dyDescent="0.4">
      <c r="H33" s="12" t="s">
        <v>37</v>
      </c>
      <c r="I33" s="13">
        <v>71626.47</v>
      </c>
      <c r="K33" s="7" t="s">
        <v>12</v>
      </c>
      <c r="L33" s="7" t="s">
        <v>69</v>
      </c>
      <c r="M33" s="7">
        <v>77</v>
      </c>
      <c r="N33" s="10">
        <v>388.17779200000001</v>
      </c>
      <c r="O33" s="10">
        <v>29889.69</v>
      </c>
    </row>
    <row r="34" spans="8:15" x14ac:dyDescent="0.4">
      <c r="H34" s="12" t="s">
        <v>38</v>
      </c>
      <c r="I34" s="13">
        <v>90013.08</v>
      </c>
      <c r="K34" s="7" t="s">
        <v>12</v>
      </c>
      <c r="L34" s="7" t="s">
        <v>70</v>
      </c>
      <c r="M34" s="7">
        <v>73</v>
      </c>
      <c r="N34" s="10">
        <v>181.93041099999999</v>
      </c>
      <c r="O34" s="10">
        <v>13280.92</v>
      </c>
    </row>
    <row r="35" spans="8:15" x14ac:dyDescent="0.4">
      <c r="H35" s="12" t="s">
        <v>39</v>
      </c>
      <c r="I35" s="13">
        <v>72945.83</v>
      </c>
      <c r="K35" s="7" t="s">
        <v>12</v>
      </c>
      <c r="L35" s="7" t="s">
        <v>71</v>
      </c>
      <c r="M35" s="7">
        <v>76</v>
      </c>
      <c r="N35" s="10">
        <v>28.497631999999999</v>
      </c>
      <c r="O35" s="10">
        <v>2165.8200000000002</v>
      </c>
    </row>
    <row r="36" spans="8:15" x14ac:dyDescent="0.4">
      <c r="H36" s="12" t="s">
        <v>40</v>
      </c>
      <c r="I36" s="13">
        <v>83388.679999999993</v>
      </c>
      <c r="K36" s="7" t="s">
        <v>12</v>
      </c>
      <c r="L36" s="7" t="s">
        <v>72</v>
      </c>
      <c r="M36" s="7">
        <v>63</v>
      </c>
      <c r="N36" s="10">
        <v>34.309047999999997</v>
      </c>
      <c r="O36" s="10">
        <v>2161.4699999999998</v>
      </c>
    </row>
    <row r="37" spans="8:15" x14ac:dyDescent="0.4">
      <c r="H37" s="12" t="s">
        <v>41</v>
      </c>
      <c r="I37" s="13">
        <v>83561.14</v>
      </c>
      <c r="K37" s="7" t="s">
        <v>12</v>
      </c>
      <c r="L37" s="7" t="s">
        <v>74</v>
      </c>
      <c r="M37" s="7">
        <v>25</v>
      </c>
      <c r="N37" s="10">
        <v>23.934799999999999</v>
      </c>
      <c r="O37" s="10">
        <v>598.37</v>
      </c>
    </row>
    <row r="38" spans="8:15" x14ac:dyDescent="0.4">
      <c r="H38" s="12" t="s">
        <v>42</v>
      </c>
      <c r="I38" s="13">
        <v>70589.710000000006</v>
      </c>
      <c r="K38" s="7" t="s">
        <v>12</v>
      </c>
      <c r="L38" s="7" t="s">
        <v>73</v>
      </c>
      <c r="M38" s="7">
        <v>60</v>
      </c>
      <c r="N38" s="10">
        <v>9.7828330000000001</v>
      </c>
      <c r="O38" s="10">
        <v>586.97</v>
      </c>
    </row>
    <row r="39" spans="8:15" x14ac:dyDescent="0.4">
      <c r="H39" s="12" t="s">
        <v>43</v>
      </c>
      <c r="I39" s="13">
        <v>118654.88</v>
      </c>
      <c r="K39" s="7" t="s">
        <v>13</v>
      </c>
      <c r="L39" s="7" t="s">
        <v>69</v>
      </c>
      <c r="M39" s="7">
        <v>84</v>
      </c>
      <c r="N39" s="10">
        <v>471.22607099999999</v>
      </c>
      <c r="O39" s="10">
        <v>39582.99</v>
      </c>
    </row>
    <row r="40" spans="8:15" x14ac:dyDescent="0.4">
      <c r="H40" s="12" t="s">
        <v>44</v>
      </c>
      <c r="I40" s="13">
        <v>105056.57</v>
      </c>
      <c r="K40" s="7" t="s">
        <v>13</v>
      </c>
      <c r="L40" s="7" t="s">
        <v>70</v>
      </c>
      <c r="M40" s="7">
        <v>73</v>
      </c>
      <c r="N40" s="10">
        <v>183.663836</v>
      </c>
      <c r="O40" s="10">
        <v>13407.46</v>
      </c>
    </row>
    <row r="41" spans="8:15" x14ac:dyDescent="0.4">
      <c r="H41" s="12" t="s">
        <v>45</v>
      </c>
      <c r="I41" s="13">
        <v>108664.43</v>
      </c>
      <c r="K41" s="7" t="s">
        <v>13</v>
      </c>
      <c r="L41" s="7" t="s">
        <v>72</v>
      </c>
      <c r="M41" s="7">
        <v>52</v>
      </c>
      <c r="N41" s="10">
        <v>30.252500000000001</v>
      </c>
      <c r="O41" s="10">
        <v>1573.13</v>
      </c>
    </row>
    <row r="42" spans="8:15" x14ac:dyDescent="0.4">
      <c r="H42" s="12" t="s">
        <v>46</v>
      </c>
      <c r="I42" s="13">
        <v>117732.51</v>
      </c>
      <c r="K42" s="7" t="s">
        <v>13</v>
      </c>
      <c r="L42" s="7" t="s">
        <v>71</v>
      </c>
      <c r="M42" s="7">
        <v>52</v>
      </c>
      <c r="N42" s="10">
        <v>27.906538000000001</v>
      </c>
      <c r="O42" s="10">
        <v>1451.14</v>
      </c>
    </row>
    <row r="43" spans="8:15" x14ac:dyDescent="0.4">
      <c r="H43" s="12" t="s">
        <v>47</v>
      </c>
      <c r="I43" s="13">
        <v>125169.68</v>
      </c>
      <c r="K43" s="7" t="s">
        <v>13</v>
      </c>
      <c r="L43" s="7" t="s">
        <v>74</v>
      </c>
      <c r="M43" s="7">
        <v>33</v>
      </c>
      <c r="N43" s="10">
        <v>23.261514999999999</v>
      </c>
      <c r="O43" s="10">
        <v>767.63</v>
      </c>
    </row>
    <row r="44" spans="8:15" x14ac:dyDescent="0.4">
      <c r="H44" s="12" t="s">
        <v>48</v>
      </c>
      <c r="I44" s="13">
        <v>101328.59</v>
      </c>
      <c r="K44" s="7" t="s">
        <v>13</v>
      </c>
      <c r="L44" s="7" t="s">
        <v>73</v>
      </c>
      <c r="M44" s="7">
        <v>73</v>
      </c>
      <c r="N44" s="10">
        <v>10.457808</v>
      </c>
      <c r="O44" s="10">
        <v>763.42</v>
      </c>
    </row>
    <row r="45" spans="8:15" x14ac:dyDescent="0.4">
      <c r="H45" s="12" t="s">
        <v>49</v>
      </c>
      <c r="I45" s="13">
        <v>137940.04999999999</v>
      </c>
      <c r="K45" s="7" t="s">
        <v>14</v>
      </c>
      <c r="L45" s="7" t="s">
        <v>69</v>
      </c>
      <c r="M45" s="7">
        <v>65</v>
      </c>
      <c r="N45" s="10">
        <v>466.49784599999998</v>
      </c>
      <c r="O45" s="10">
        <v>30322.36</v>
      </c>
    </row>
    <row r="46" spans="8:15" x14ac:dyDescent="0.4">
      <c r="H46" s="12" t="s">
        <v>50</v>
      </c>
      <c r="I46" s="13">
        <v>129936.53</v>
      </c>
      <c r="K46" s="7" t="s">
        <v>14</v>
      </c>
      <c r="L46" s="7" t="s">
        <v>70</v>
      </c>
      <c r="M46" s="7">
        <v>71</v>
      </c>
      <c r="N46" s="10">
        <v>188.96619699999999</v>
      </c>
      <c r="O46" s="10">
        <v>13416.6</v>
      </c>
    </row>
    <row r="47" spans="8:15" x14ac:dyDescent="0.4">
      <c r="H47" s="12" t="s">
        <v>51</v>
      </c>
      <c r="I47" s="13">
        <v>106935.33</v>
      </c>
      <c r="K47" s="7" t="s">
        <v>14</v>
      </c>
      <c r="L47" s="7" t="s">
        <v>72</v>
      </c>
      <c r="M47" s="7">
        <v>60</v>
      </c>
      <c r="N47" s="10">
        <v>32.794499999999999</v>
      </c>
      <c r="O47" s="10">
        <v>1967.67</v>
      </c>
    </row>
    <row r="48" spans="8:15" x14ac:dyDescent="0.4">
      <c r="H48" s="12" t="s">
        <v>52</v>
      </c>
      <c r="I48" s="13">
        <v>188215.96</v>
      </c>
      <c r="K48" s="7" t="s">
        <v>14</v>
      </c>
      <c r="L48" s="7" t="s">
        <v>71</v>
      </c>
      <c r="M48" s="7">
        <v>48</v>
      </c>
      <c r="N48" s="10">
        <v>29.458124999999999</v>
      </c>
      <c r="O48" s="10">
        <v>1413.99</v>
      </c>
    </row>
    <row r="49" spans="8:15" x14ac:dyDescent="0.4">
      <c r="H49" s="12" t="s">
        <v>53</v>
      </c>
      <c r="I49" s="13">
        <v>133022.84</v>
      </c>
      <c r="K49" s="7" t="s">
        <v>14</v>
      </c>
      <c r="L49" s="7" t="s">
        <v>74</v>
      </c>
      <c r="M49" s="7">
        <v>33</v>
      </c>
      <c r="N49" s="10">
        <v>26.772424000000001</v>
      </c>
      <c r="O49" s="10">
        <v>883.49</v>
      </c>
    </row>
    <row r="50" spans="8:15" x14ac:dyDescent="0.4">
      <c r="H50" s="12" t="s">
        <v>54</v>
      </c>
      <c r="I50" s="13">
        <v>122408.27</v>
      </c>
      <c r="K50" s="7" t="s">
        <v>14</v>
      </c>
      <c r="L50" s="7" t="s">
        <v>73</v>
      </c>
      <c r="M50" s="7">
        <v>69</v>
      </c>
      <c r="N50" s="10">
        <v>9.4618839999999995</v>
      </c>
      <c r="O50" s="10">
        <v>652.87</v>
      </c>
    </row>
    <row r="51" spans="8:15" x14ac:dyDescent="0.35">
      <c r="K51" s="7" t="s">
        <v>15</v>
      </c>
      <c r="L51" s="7" t="s">
        <v>69</v>
      </c>
      <c r="M51" s="7">
        <v>65</v>
      </c>
      <c r="N51" s="10">
        <v>350.95400000000001</v>
      </c>
      <c r="O51" s="10">
        <v>22812.01</v>
      </c>
    </row>
    <row r="52" spans="8:15" x14ac:dyDescent="0.35">
      <c r="K52" s="7" t="s">
        <v>15</v>
      </c>
      <c r="L52" s="7" t="s">
        <v>70</v>
      </c>
      <c r="M52" s="7">
        <v>81</v>
      </c>
      <c r="N52" s="10">
        <v>188.43851900000001</v>
      </c>
      <c r="O52" s="10">
        <v>15263.52</v>
      </c>
    </row>
    <row r="53" spans="8:15" x14ac:dyDescent="0.35">
      <c r="K53" s="7" t="s">
        <v>15</v>
      </c>
      <c r="L53" s="7" t="s">
        <v>72</v>
      </c>
      <c r="M53" s="7">
        <v>63</v>
      </c>
      <c r="N53" s="10">
        <v>30.616983999999999</v>
      </c>
      <c r="O53" s="10">
        <v>1928.87</v>
      </c>
    </row>
    <row r="54" spans="8:15" x14ac:dyDescent="0.35">
      <c r="K54" s="7" t="s">
        <v>15</v>
      </c>
      <c r="L54" s="7" t="s">
        <v>71</v>
      </c>
      <c r="M54" s="7">
        <v>55</v>
      </c>
      <c r="N54" s="10">
        <v>26.941091</v>
      </c>
      <c r="O54" s="10">
        <v>1481.76</v>
      </c>
    </row>
    <row r="55" spans="8:15" x14ac:dyDescent="0.35">
      <c r="K55" s="7" t="s">
        <v>15</v>
      </c>
      <c r="L55" s="7" t="s">
        <v>74</v>
      </c>
      <c r="M55" s="7">
        <v>28</v>
      </c>
      <c r="N55" s="10">
        <v>26.572143000000001</v>
      </c>
      <c r="O55" s="10">
        <v>744.02</v>
      </c>
    </row>
    <row r="56" spans="8:15" x14ac:dyDescent="0.35">
      <c r="K56" s="7" t="s">
        <v>15</v>
      </c>
      <c r="L56" s="7" t="s">
        <v>73</v>
      </c>
      <c r="M56" s="7">
        <v>56</v>
      </c>
      <c r="N56" s="10">
        <v>10.873571</v>
      </c>
      <c r="O56" s="10">
        <v>608.91999999999996</v>
      </c>
    </row>
    <row r="57" spans="8:15" x14ac:dyDescent="0.35">
      <c r="K57" s="7" t="s">
        <v>16</v>
      </c>
      <c r="L57" s="7" t="s">
        <v>69</v>
      </c>
      <c r="M57" s="7">
        <v>72</v>
      </c>
      <c r="N57" s="10">
        <v>432.541944</v>
      </c>
      <c r="O57" s="10">
        <v>31143.02</v>
      </c>
    </row>
    <row r="58" spans="8:15" x14ac:dyDescent="0.35">
      <c r="K58" s="7" t="s">
        <v>16</v>
      </c>
      <c r="L58" s="7" t="s">
        <v>70</v>
      </c>
      <c r="M58" s="7">
        <v>72</v>
      </c>
      <c r="N58" s="10">
        <v>190.625833</v>
      </c>
      <c r="O58" s="10">
        <v>13725.06</v>
      </c>
    </row>
    <row r="59" spans="8:15" x14ac:dyDescent="0.35">
      <c r="K59" s="7" t="s">
        <v>16</v>
      </c>
      <c r="L59" s="7" t="s">
        <v>71</v>
      </c>
      <c r="M59" s="7">
        <v>58</v>
      </c>
      <c r="N59" s="10">
        <v>29.024999999999999</v>
      </c>
      <c r="O59" s="10">
        <v>1683.45</v>
      </c>
    </row>
    <row r="60" spans="8:15" x14ac:dyDescent="0.35">
      <c r="K60" s="7" t="s">
        <v>16</v>
      </c>
      <c r="L60" s="7" t="s">
        <v>72</v>
      </c>
      <c r="M60" s="7">
        <v>50</v>
      </c>
      <c r="N60" s="10">
        <v>31.027200000000001</v>
      </c>
      <c r="O60" s="10">
        <v>1551.36</v>
      </c>
    </row>
    <row r="61" spans="8:15" x14ac:dyDescent="0.35">
      <c r="K61" s="7" t="s">
        <v>16</v>
      </c>
      <c r="L61" s="7" t="s">
        <v>74</v>
      </c>
      <c r="M61" s="7">
        <v>29</v>
      </c>
      <c r="N61" s="10">
        <v>27.247585999999998</v>
      </c>
      <c r="O61" s="10">
        <v>790.18</v>
      </c>
    </row>
    <row r="62" spans="8:15" x14ac:dyDescent="0.35">
      <c r="K62" s="7" t="s">
        <v>16</v>
      </c>
      <c r="L62" s="7" t="s">
        <v>73</v>
      </c>
      <c r="M62" s="7">
        <v>67</v>
      </c>
      <c r="N62" s="10">
        <v>9.1843280000000007</v>
      </c>
      <c r="O62" s="10">
        <v>615.35</v>
      </c>
    </row>
    <row r="63" spans="8:15" x14ac:dyDescent="0.35">
      <c r="K63" s="7" t="s">
        <v>17</v>
      </c>
      <c r="L63" s="7" t="s">
        <v>69</v>
      </c>
      <c r="M63" s="7">
        <v>64</v>
      </c>
      <c r="N63" s="10">
        <v>427.30921899999998</v>
      </c>
      <c r="O63" s="10">
        <v>27347.79</v>
      </c>
    </row>
    <row r="64" spans="8:15" x14ac:dyDescent="0.35">
      <c r="K64" s="7" t="s">
        <v>17</v>
      </c>
      <c r="L64" s="7" t="s">
        <v>70</v>
      </c>
      <c r="M64" s="7">
        <v>68</v>
      </c>
      <c r="N64" s="10">
        <v>190.85823500000001</v>
      </c>
      <c r="O64" s="10">
        <v>12978.36</v>
      </c>
    </row>
    <row r="65" spans="11:15" x14ac:dyDescent="0.35">
      <c r="K65" s="7" t="s">
        <v>17</v>
      </c>
      <c r="L65" s="7" t="s">
        <v>72</v>
      </c>
      <c r="M65" s="7">
        <v>53</v>
      </c>
      <c r="N65" s="10">
        <v>27.844151</v>
      </c>
      <c r="O65" s="10">
        <v>1475.74</v>
      </c>
    </row>
    <row r="66" spans="11:15" x14ac:dyDescent="0.35">
      <c r="K66" s="7" t="s">
        <v>17</v>
      </c>
      <c r="L66" s="7" t="s">
        <v>71</v>
      </c>
      <c r="M66" s="7">
        <v>50</v>
      </c>
      <c r="N66" s="10">
        <v>27.888200000000001</v>
      </c>
      <c r="O66" s="10">
        <v>1394.41</v>
      </c>
    </row>
    <row r="67" spans="11:15" x14ac:dyDescent="0.35">
      <c r="K67" s="7" t="s">
        <v>17</v>
      </c>
      <c r="L67" s="7" t="s">
        <v>73</v>
      </c>
      <c r="M67" s="7">
        <v>69</v>
      </c>
      <c r="N67" s="10">
        <v>10.131449</v>
      </c>
      <c r="O67" s="10">
        <v>699.07</v>
      </c>
    </row>
    <row r="68" spans="11:15" x14ac:dyDescent="0.35">
      <c r="K68" s="7" t="s">
        <v>17</v>
      </c>
      <c r="L68" s="7" t="s">
        <v>74</v>
      </c>
      <c r="M68" s="7">
        <v>26</v>
      </c>
      <c r="N68" s="10">
        <v>24.018846</v>
      </c>
      <c r="O68" s="10">
        <v>624.49</v>
      </c>
    </row>
    <row r="69" spans="11:15" x14ac:dyDescent="0.35">
      <c r="K69" s="7" t="s">
        <v>18</v>
      </c>
      <c r="L69" s="7" t="s">
        <v>69</v>
      </c>
      <c r="M69" s="7">
        <v>77</v>
      </c>
      <c r="N69" s="10">
        <v>433.83935100000002</v>
      </c>
      <c r="O69" s="10">
        <v>33405.629999999997</v>
      </c>
    </row>
    <row r="70" spans="11:15" x14ac:dyDescent="0.35">
      <c r="K70" s="7" t="s">
        <v>18</v>
      </c>
      <c r="L70" s="7" t="s">
        <v>70</v>
      </c>
      <c r="M70" s="7">
        <v>66</v>
      </c>
      <c r="N70" s="10">
        <v>179.496364</v>
      </c>
      <c r="O70" s="10">
        <v>11846.76</v>
      </c>
    </row>
    <row r="71" spans="11:15" x14ac:dyDescent="0.35">
      <c r="K71" s="7" t="s">
        <v>18</v>
      </c>
      <c r="L71" s="7" t="s">
        <v>72</v>
      </c>
      <c r="M71" s="7">
        <v>72</v>
      </c>
      <c r="N71" s="10">
        <v>30.965</v>
      </c>
      <c r="O71" s="10">
        <v>2229.48</v>
      </c>
    </row>
    <row r="72" spans="11:15" x14ac:dyDescent="0.35">
      <c r="K72" s="7" t="s">
        <v>18</v>
      </c>
      <c r="L72" s="7" t="s">
        <v>71</v>
      </c>
      <c r="M72" s="7">
        <v>68</v>
      </c>
      <c r="N72" s="10">
        <v>27.675440999999999</v>
      </c>
      <c r="O72" s="10">
        <v>1881.93</v>
      </c>
    </row>
    <row r="73" spans="11:15" x14ac:dyDescent="0.35">
      <c r="K73" s="7" t="s">
        <v>18</v>
      </c>
      <c r="L73" s="7" t="s">
        <v>74</v>
      </c>
      <c r="M73" s="7">
        <v>23</v>
      </c>
      <c r="N73" s="10">
        <v>37.113912999999997</v>
      </c>
      <c r="O73" s="10">
        <v>853.62</v>
      </c>
    </row>
    <row r="74" spans="11:15" x14ac:dyDescent="0.35">
      <c r="K74" s="7" t="s">
        <v>18</v>
      </c>
      <c r="L74" s="7" t="s">
        <v>73</v>
      </c>
      <c r="M74" s="7">
        <v>65</v>
      </c>
      <c r="N74" s="10">
        <v>10.279385</v>
      </c>
      <c r="O74" s="10">
        <v>668.16</v>
      </c>
    </row>
    <row r="75" spans="11:15" x14ac:dyDescent="0.35">
      <c r="K75" s="7" t="s">
        <v>19</v>
      </c>
      <c r="L75" s="7" t="s">
        <v>69</v>
      </c>
      <c r="M75" s="7">
        <v>110</v>
      </c>
      <c r="N75" s="10">
        <v>447.18881800000003</v>
      </c>
      <c r="O75" s="10">
        <v>49190.77</v>
      </c>
    </row>
    <row r="76" spans="11:15" x14ac:dyDescent="0.35">
      <c r="K76" s="7" t="s">
        <v>19</v>
      </c>
      <c r="L76" s="7" t="s">
        <v>70</v>
      </c>
      <c r="M76" s="7">
        <v>71</v>
      </c>
      <c r="N76" s="10">
        <v>172.51253500000001</v>
      </c>
      <c r="O76" s="10">
        <v>12248.39</v>
      </c>
    </row>
    <row r="77" spans="11:15" x14ac:dyDescent="0.35">
      <c r="K77" s="7" t="s">
        <v>19</v>
      </c>
      <c r="L77" s="7" t="s">
        <v>72</v>
      </c>
      <c r="M77" s="7">
        <v>103</v>
      </c>
      <c r="N77" s="10">
        <v>34.370776999999997</v>
      </c>
      <c r="O77" s="10">
        <v>3540.19</v>
      </c>
    </row>
    <row r="78" spans="11:15" x14ac:dyDescent="0.35">
      <c r="K78" s="7" t="s">
        <v>19</v>
      </c>
      <c r="L78" s="7" t="s">
        <v>71</v>
      </c>
      <c r="M78" s="7">
        <v>96</v>
      </c>
      <c r="N78" s="10">
        <v>34.249375000000001</v>
      </c>
      <c r="O78" s="10">
        <v>3287.94</v>
      </c>
    </row>
    <row r="79" spans="11:15" x14ac:dyDescent="0.35">
      <c r="K79" s="7" t="s">
        <v>19</v>
      </c>
      <c r="L79" s="7" t="s">
        <v>74</v>
      </c>
      <c r="M79" s="7">
        <v>41</v>
      </c>
      <c r="N79" s="10">
        <v>29.594878000000001</v>
      </c>
      <c r="O79" s="10">
        <v>1213.3900000000001</v>
      </c>
    </row>
    <row r="80" spans="11:15" x14ac:dyDescent="0.35">
      <c r="K80" s="7" t="s">
        <v>19</v>
      </c>
      <c r="L80" s="7" t="s">
        <v>73</v>
      </c>
      <c r="M80" s="7">
        <v>110</v>
      </c>
      <c r="N80" s="10">
        <v>10.082091</v>
      </c>
      <c r="O80" s="10">
        <v>1109.03</v>
      </c>
    </row>
    <row r="81" spans="11:15" x14ac:dyDescent="0.35">
      <c r="K81" s="7" t="s">
        <v>20</v>
      </c>
      <c r="L81" s="7" t="s">
        <v>69</v>
      </c>
      <c r="M81" s="7">
        <v>113</v>
      </c>
      <c r="N81" s="10">
        <v>470.02123899999998</v>
      </c>
      <c r="O81" s="10">
        <v>53112.4</v>
      </c>
    </row>
    <row r="82" spans="11:15" x14ac:dyDescent="0.35">
      <c r="K82" s="7" t="s">
        <v>20</v>
      </c>
      <c r="L82" s="7" t="s">
        <v>70</v>
      </c>
      <c r="M82" s="7">
        <v>74</v>
      </c>
      <c r="N82" s="10">
        <v>173.92297300000001</v>
      </c>
      <c r="O82" s="10">
        <v>12870.3</v>
      </c>
    </row>
    <row r="83" spans="11:15" x14ac:dyDescent="0.35">
      <c r="K83" s="7" t="s">
        <v>20</v>
      </c>
      <c r="L83" s="7" t="s">
        <v>72</v>
      </c>
      <c r="M83" s="7">
        <v>108</v>
      </c>
      <c r="N83" s="10">
        <v>34.614074000000002</v>
      </c>
      <c r="O83" s="10">
        <v>3738.32</v>
      </c>
    </row>
    <row r="84" spans="11:15" x14ac:dyDescent="0.35">
      <c r="K84" s="7" t="s">
        <v>20</v>
      </c>
      <c r="L84" s="7" t="s">
        <v>71</v>
      </c>
      <c r="M84" s="7">
        <v>82</v>
      </c>
      <c r="N84" s="10">
        <v>31.107073</v>
      </c>
      <c r="O84" s="10">
        <v>2550.7800000000002</v>
      </c>
    </row>
    <row r="85" spans="11:15" x14ac:dyDescent="0.35">
      <c r="K85" s="7" t="s">
        <v>20</v>
      </c>
      <c r="L85" s="7" t="s">
        <v>74</v>
      </c>
      <c r="M85" s="7">
        <v>35</v>
      </c>
      <c r="N85" s="10">
        <v>33.947429</v>
      </c>
      <c r="O85" s="10">
        <v>1188.1600000000001</v>
      </c>
    </row>
    <row r="86" spans="11:15" x14ac:dyDescent="0.35">
      <c r="K86" s="7" t="s">
        <v>20</v>
      </c>
      <c r="L86" s="7" t="s">
        <v>73</v>
      </c>
      <c r="M86" s="7">
        <v>109</v>
      </c>
      <c r="N86" s="10">
        <v>9.9785319999999995</v>
      </c>
      <c r="O86" s="10">
        <v>1087.6600000000001</v>
      </c>
    </row>
    <row r="87" spans="11:15" x14ac:dyDescent="0.35">
      <c r="K87" s="7" t="s">
        <v>21</v>
      </c>
      <c r="L87" s="7" t="s">
        <v>69</v>
      </c>
      <c r="M87" s="7">
        <v>120</v>
      </c>
      <c r="N87" s="10">
        <v>442.573667</v>
      </c>
      <c r="O87" s="10">
        <v>53108.84</v>
      </c>
    </row>
    <row r="88" spans="11:15" x14ac:dyDescent="0.35">
      <c r="K88" s="7" t="s">
        <v>21</v>
      </c>
      <c r="L88" s="7" t="s">
        <v>70</v>
      </c>
      <c r="M88" s="7">
        <v>63</v>
      </c>
      <c r="N88" s="10">
        <v>161.726349</v>
      </c>
      <c r="O88" s="10">
        <v>10188.76</v>
      </c>
    </row>
    <row r="89" spans="11:15" x14ac:dyDescent="0.35">
      <c r="K89" s="7" t="s">
        <v>21</v>
      </c>
      <c r="L89" s="7" t="s">
        <v>72</v>
      </c>
      <c r="M89" s="7">
        <v>99</v>
      </c>
      <c r="N89" s="10">
        <v>35.966566</v>
      </c>
      <c r="O89" s="10">
        <v>3560.69</v>
      </c>
    </row>
    <row r="90" spans="11:15" x14ac:dyDescent="0.35">
      <c r="K90" s="7" t="s">
        <v>21</v>
      </c>
      <c r="L90" s="7" t="s">
        <v>71</v>
      </c>
      <c r="M90" s="7">
        <v>75</v>
      </c>
      <c r="N90" s="10">
        <v>31.812132999999999</v>
      </c>
      <c r="O90" s="10">
        <v>2385.91</v>
      </c>
    </row>
    <row r="91" spans="11:15" x14ac:dyDescent="0.35">
      <c r="K91" s="7" t="s">
        <v>21</v>
      </c>
      <c r="L91" s="7" t="s">
        <v>74</v>
      </c>
      <c r="M91" s="7">
        <v>45</v>
      </c>
      <c r="N91" s="10">
        <v>26.637778000000001</v>
      </c>
      <c r="O91" s="10">
        <v>1198.7</v>
      </c>
    </row>
    <row r="92" spans="11:15" x14ac:dyDescent="0.35">
      <c r="K92" s="7" t="s">
        <v>21</v>
      </c>
      <c r="L92" s="7" t="s">
        <v>73</v>
      </c>
      <c r="M92" s="7">
        <v>103</v>
      </c>
      <c r="N92" s="10">
        <v>10.173786</v>
      </c>
      <c r="O92" s="10">
        <v>1047.9000000000001</v>
      </c>
    </row>
    <row r="93" spans="11:15" x14ac:dyDescent="0.35">
      <c r="K93" s="7" t="s">
        <v>22</v>
      </c>
      <c r="L93" s="7" t="s">
        <v>69</v>
      </c>
      <c r="M93" s="7">
        <v>121</v>
      </c>
      <c r="N93" s="10">
        <v>396.99694199999999</v>
      </c>
      <c r="O93" s="10">
        <v>48036.63</v>
      </c>
    </row>
    <row r="94" spans="11:15" x14ac:dyDescent="0.35">
      <c r="K94" s="7" t="s">
        <v>22</v>
      </c>
      <c r="L94" s="7" t="s">
        <v>70</v>
      </c>
      <c r="M94" s="7">
        <v>86</v>
      </c>
      <c r="N94" s="10">
        <v>168.60069799999999</v>
      </c>
      <c r="O94" s="10">
        <v>14499.66</v>
      </c>
    </row>
    <row r="95" spans="11:15" x14ac:dyDescent="0.35">
      <c r="K95" s="7" t="s">
        <v>22</v>
      </c>
      <c r="L95" s="7" t="s">
        <v>72</v>
      </c>
      <c r="M95" s="7">
        <v>120</v>
      </c>
      <c r="N95" s="10">
        <v>34.265082999999997</v>
      </c>
      <c r="O95" s="10">
        <v>4111.8100000000004</v>
      </c>
    </row>
    <row r="96" spans="11:15" x14ac:dyDescent="0.35">
      <c r="K96" s="7" t="s">
        <v>22</v>
      </c>
      <c r="L96" s="7" t="s">
        <v>71</v>
      </c>
      <c r="M96" s="7">
        <v>70</v>
      </c>
      <c r="N96" s="10">
        <v>33.374285999999998</v>
      </c>
      <c r="O96" s="10">
        <v>2336.1999999999998</v>
      </c>
    </row>
    <row r="97" spans="11:15" x14ac:dyDescent="0.35">
      <c r="K97" s="7" t="s">
        <v>22</v>
      </c>
      <c r="L97" s="7" t="s">
        <v>74</v>
      </c>
      <c r="M97" s="7">
        <v>55</v>
      </c>
      <c r="N97" s="10">
        <v>29.227454999999999</v>
      </c>
      <c r="O97" s="10">
        <v>1607.51</v>
      </c>
    </row>
    <row r="98" spans="11:15" x14ac:dyDescent="0.35">
      <c r="K98" s="7" t="s">
        <v>22</v>
      </c>
      <c r="L98" s="7" t="s">
        <v>73</v>
      </c>
      <c r="M98" s="7">
        <v>115</v>
      </c>
      <c r="N98" s="10">
        <v>9.3879999999999999</v>
      </c>
      <c r="O98" s="10">
        <v>1079.6199999999999</v>
      </c>
    </row>
    <row r="99" spans="11:15" x14ac:dyDescent="0.35">
      <c r="K99" s="7" t="s">
        <v>23</v>
      </c>
      <c r="L99" s="7" t="s">
        <v>69</v>
      </c>
      <c r="M99" s="7">
        <v>120</v>
      </c>
      <c r="N99" s="10">
        <v>470.17416700000001</v>
      </c>
      <c r="O99" s="10">
        <v>56420.9</v>
      </c>
    </row>
    <row r="100" spans="11:15" x14ac:dyDescent="0.35">
      <c r="K100" s="7" t="s">
        <v>23</v>
      </c>
      <c r="L100" s="7" t="s">
        <v>70</v>
      </c>
      <c r="M100" s="7">
        <v>72</v>
      </c>
      <c r="N100" s="10">
        <v>168.733056</v>
      </c>
      <c r="O100" s="10">
        <v>12148.78</v>
      </c>
    </row>
    <row r="101" spans="11:15" x14ac:dyDescent="0.35">
      <c r="K101" s="7" t="s">
        <v>23</v>
      </c>
      <c r="L101" s="7" t="s">
        <v>72</v>
      </c>
      <c r="M101" s="7">
        <v>104</v>
      </c>
      <c r="N101" s="10">
        <v>34.508172999999999</v>
      </c>
      <c r="O101" s="10">
        <v>3588.85</v>
      </c>
    </row>
    <row r="102" spans="11:15" x14ac:dyDescent="0.35">
      <c r="K102" s="7" t="s">
        <v>23</v>
      </c>
      <c r="L102" s="7" t="s">
        <v>71</v>
      </c>
      <c r="M102" s="7">
        <v>71</v>
      </c>
      <c r="N102" s="10">
        <v>35.035210999999997</v>
      </c>
      <c r="O102" s="10">
        <v>2487.5</v>
      </c>
    </row>
    <row r="103" spans="11:15" x14ac:dyDescent="0.35">
      <c r="K103" s="7" t="s">
        <v>23</v>
      </c>
      <c r="L103" s="7" t="s">
        <v>73</v>
      </c>
      <c r="M103" s="7">
        <v>121</v>
      </c>
      <c r="N103" s="10">
        <v>9.7542980000000004</v>
      </c>
      <c r="O103" s="10">
        <v>1180.27</v>
      </c>
    </row>
    <row r="104" spans="11:15" x14ac:dyDescent="0.35">
      <c r="K104" s="7" t="s">
        <v>23</v>
      </c>
      <c r="L104" s="7" t="s">
        <v>74</v>
      </c>
      <c r="M104" s="7">
        <v>40</v>
      </c>
      <c r="N104" s="10">
        <v>27.908000000000001</v>
      </c>
      <c r="O104" s="10">
        <v>1116.32</v>
      </c>
    </row>
    <row r="105" spans="11:15" x14ac:dyDescent="0.35">
      <c r="K105" s="7" t="s">
        <v>24</v>
      </c>
      <c r="L105" s="7" t="s">
        <v>69</v>
      </c>
      <c r="M105" s="7">
        <v>105</v>
      </c>
      <c r="N105" s="10">
        <v>484.47333300000003</v>
      </c>
      <c r="O105" s="10">
        <v>50869.7</v>
      </c>
    </row>
    <row r="106" spans="11:15" x14ac:dyDescent="0.35">
      <c r="K106" s="7" t="s">
        <v>24</v>
      </c>
      <c r="L106" s="7" t="s">
        <v>70</v>
      </c>
      <c r="M106" s="7">
        <v>98</v>
      </c>
      <c r="N106" s="10">
        <v>162.45898</v>
      </c>
      <c r="O106" s="10">
        <v>15920.98</v>
      </c>
    </row>
    <row r="107" spans="11:15" x14ac:dyDescent="0.35">
      <c r="K107" s="7" t="s">
        <v>24</v>
      </c>
      <c r="L107" s="7" t="s">
        <v>71</v>
      </c>
      <c r="M107" s="7">
        <v>93</v>
      </c>
      <c r="N107" s="10">
        <v>36.498494999999998</v>
      </c>
      <c r="O107" s="10">
        <v>3394.36</v>
      </c>
    </row>
    <row r="108" spans="11:15" x14ac:dyDescent="0.35">
      <c r="K108" s="7" t="s">
        <v>24</v>
      </c>
      <c r="L108" s="7" t="s">
        <v>72</v>
      </c>
      <c r="M108" s="7">
        <v>104</v>
      </c>
      <c r="N108" s="10">
        <v>30.572692</v>
      </c>
      <c r="O108" s="10">
        <v>3179.56</v>
      </c>
    </row>
    <row r="109" spans="11:15" x14ac:dyDescent="0.35">
      <c r="K109" s="7" t="s">
        <v>24</v>
      </c>
      <c r="L109" s="7" t="s">
        <v>74</v>
      </c>
      <c r="M109" s="7">
        <v>47</v>
      </c>
      <c r="N109" s="10">
        <v>29.500851000000001</v>
      </c>
      <c r="O109" s="10">
        <v>1386.54</v>
      </c>
    </row>
    <row r="110" spans="11:15" x14ac:dyDescent="0.35">
      <c r="K110" s="7" t="s">
        <v>24</v>
      </c>
      <c r="L110" s="7" t="s">
        <v>73</v>
      </c>
      <c r="M110" s="7">
        <v>125</v>
      </c>
      <c r="N110" s="10">
        <v>9.6608800000000006</v>
      </c>
      <c r="O110" s="10">
        <v>1207.6099999999999</v>
      </c>
    </row>
    <row r="111" spans="11:15" x14ac:dyDescent="0.35">
      <c r="K111" s="7" t="s">
        <v>25</v>
      </c>
      <c r="L111" s="7" t="s">
        <v>69</v>
      </c>
      <c r="M111" s="7">
        <v>111</v>
      </c>
      <c r="N111" s="10">
        <v>439.005315</v>
      </c>
      <c r="O111" s="10">
        <v>48729.59</v>
      </c>
    </row>
    <row r="112" spans="11:15" x14ac:dyDescent="0.35">
      <c r="K112" s="7" t="s">
        <v>25</v>
      </c>
      <c r="L112" s="7" t="s">
        <v>70</v>
      </c>
      <c r="M112" s="7">
        <v>93</v>
      </c>
      <c r="N112" s="10">
        <v>175.345269</v>
      </c>
      <c r="O112" s="10">
        <v>16307.11</v>
      </c>
    </row>
    <row r="113" spans="11:15" x14ac:dyDescent="0.35">
      <c r="K113" s="7" t="s">
        <v>25</v>
      </c>
      <c r="L113" s="7" t="s">
        <v>72</v>
      </c>
      <c r="M113" s="7">
        <v>112</v>
      </c>
      <c r="N113" s="10">
        <v>33.859464000000003</v>
      </c>
      <c r="O113" s="10">
        <v>3792.26</v>
      </c>
    </row>
    <row r="114" spans="11:15" x14ac:dyDescent="0.35">
      <c r="K114" s="7" t="s">
        <v>25</v>
      </c>
      <c r="L114" s="7" t="s">
        <v>71</v>
      </c>
      <c r="M114" s="7">
        <v>80</v>
      </c>
      <c r="N114" s="10">
        <v>32.976374999999997</v>
      </c>
      <c r="O114" s="10">
        <v>2638.11</v>
      </c>
    </row>
    <row r="115" spans="11:15" x14ac:dyDescent="0.35">
      <c r="K115" s="7" t="s">
        <v>25</v>
      </c>
      <c r="L115" s="7" t="s">
        <v>74</v>
      </c>
      <c r="M115" s="7">
        <v>55</v>
      </c>
      <c r="N115" s="10">
        <v>32.602908999999997</v>
      </c>
      <c r="O115" s="10">
        <v>1793.16</v>
      </c>
    </row>
    <row r="116" spans="11:15" x14ac:dyDescent="0.35">
      <c r="K116" s="7" t="s">
        <v>25</v>
      </c>
      <c r="L116" s="7" t="s">
        <v>73</v>
      </c>
      <c r="M116" s="7">
        <v>119</v>
      </c>
      <c r="N116" s="10">
        <v>9.9017649999999993</v>
      </c>
      <c r="O116" s="10">
        <v>1178.31</v>
      </c>
    </row>
    <row r="117" spans="11:15" x14ac:dyDescent="0.35">
      <c r="K117" s="7" t="s">
        <v>26</v>
      </c>
      <c r="L117" s="7" t="s">
        <v>69</v>
      </c>
      <c r="M117" s="7">
        <v>114</v>
      </c>
      <c r="N117" s="10">
        <v>389.28578900000002</v>
      </c>
      <c r="O117" s="10">
        <v>44378.58</v>
      </c>
    </row>
    <row r="118" spans="11:15" x14ac:dyDescent="0.35">
      <c r="K118" s="7" t="s">
        <v>26</v>
      </c>
      <c r="L118" s="7" t="s">
        <v>70</v>
      </c>
      <c r="M118" s="7">
        <v>109</v>
      </c>
      <c r="N118" s="10">
        <v>176.66889900000001</v>
      </c>
      <c r="O118" s="10">
        <v>19256.91</v>
      </c>
    </row>
    <row r="119" spans="11:15" x14ac:dyDescent="0.35">
      <c r="K119" s="7" t="s">
        <v>26</v>
      </c>
      <c r="L119" s="7" t="s">
        <v>72</v>
      </c>
      <c r="M119" s="7">
        <v>118</v>
      </c>
      <c r="N119" s="10">
        <v>30.590847</v>
      </c>
      <c r="O119" s="10">
        <v>3609.72</v>
      </c>
    </row>
    <row r="120" spans="11:15" x14ac:dyDescent="0.35">
      <c r="K120" s="7" t="s">
        <v>26</v>
      </c>
      <c r="L120" s="7" t="s">
        <v>71</v>
      </c>
      <c r="M120" s="7">
        <v>72</v>
      </c>
      <c r="N120" s="10">
        <v>30.958472</v>
      </c>
      <c r="O120" s="10">
        <v>2229.0100000000002</v>
      </c>
    </row>
    <row r="121" spans="11:15" x14ac:dyDescent="0.35">
      <c r="K121" s="7" t="s">
        <v>26</v>
      </c>
      <c r="L121" s="7" t="s">
        <v>73</v>
      </c>
      <c r="M121" s="7">
        <v>110</v>
      </c>
      <c r="N121" s="10">
        <v>10.359636</v>
      </c>
      <c r="O121" s="10">
        <v>1139.56</v>
      </c>
    </row>
    <row r="122" spans="11:15" x14ac:dyDescent="0.35">
      <c r="K122" s="7" t="s">
        <v>26</v>
      </c>
      <c r="L122" s="7" t="s">
        <v>74</v>
      </c>
      <c r="M122" s="7">
        <v>39</v>
      </c>
      <c r="N122" s="10">
        <v>25.96641</v>
      </c>
      <c r="O122" s="10">
        <v>1012.69</v>
      </c>
    </row>
    <row r="123" spans="11:15" x14ac:dyDescent="0.35">
      <c r="K123" s="7" t="s">
        <v>27</v>
      </c>
      <c r="L123" s="7" t="s">
        <v>69</v>
      </c>
      <c r="M123" s="7">
        <v>132</v>
      </c>
      <c r="N123" s="10">
        <v>471.52295500000002</v>
      </c>
      <c r="O123" s="10">
        <v>62241.03</v>
      </c>
    </row>
    <row r="124" spans="11:15" x14ac:dyDescent="0.35">
      <c r="K124" s="7" t="s">
        <v>27</v>
      </c>
      <c r="L124" s="7" t="s">
        <v>70</v>
      </c>
      <c r="M124" s="7">
        <v>92</v>
      </c>
      <c r="N124" s="10">
        <v>183.88423900000001</v>
      </c>
      <c r="O124" s="10">
        <v>16917.349999999999</v>
      </c>
    </row>
    <row r="125" spans="11:15" x14ac:dyDescent="0.35">
      <c r="K125" s="7" t="s">
        <v>27</v>
      </c>
      <c r="L125" s="7" t="s">
        <v>72</v>
      </c>
      <c r="M125" s="7">
        <v>102</v>
      </c>
      <c r="N125" s="10">
        <v>29.877941</v>
      </c>
      <c r="O125" s="10">
        <v>3047.55</v>
      </c>
    </row>
    <row r="126" spans="11:15" x14ac:dyDescent="0.35">
      <c r="K126" s="7" t="s">
        <v>27</v>
      </c>
      <c r="L126" s="7" t="s">
        <v>71</v>
      </c>
      <c r="M126" s="7">
        <v>69</v>
      </c>
      <c r="N126" s="10">
        <v>26.858405999999999</v>
      </c>
      <c r="O126" s="10">
        <v>1853.23</v>
      </c>
    </row>
    <row r="127" spans="11:15" x14ac:dyDescent="0.35">
      <c r="K127" s="7" t="s">
        <v>27</v>
      </c>
      <c r="L127" s="7" t="s">
        <v>74</v>
      </c>
      <c r="M127" s="7">
        <v>49</v>
      </c>
      <c r="N127" s="10">
        <v>24.243265000000001</v>
      </c>
      <c r="O127" s="10">
        <v>1187.92</v>
      </c>
    </row>
    <row r="128" spans="11:15" x14ac:dyDescent="0.35">
      <c r="K128" s="7" t="s">
        <v>27</v>
      </c>
      <c r="L128" s="7" t="s">
        <v>73</v>
      </c>
      <c r="M128" s="7">
        <v>105</v>
      </c>
      <c r="N128" s="10">
        <v>10.869619</v>
      </c>
      <c r="O128" s="10">
        <v>1141.31</v>
      </c>
    </row>
    <row r="129" spans="11:15" x14ac:dyDescent="0.35">
      <c r="K129" s="7" t="s">
        <v>28</v>
      </c>
      <c r="L129" s="7" t="s">
        <v>69</v>
      </c>
      <c r="M129" s="7">
        <v>105</v>
      </c>
      <c r="N129" s="10">
        <v>512.38009499999998</v>
      </c>
      <c r="O129" s="10">
        <v>53799.91</v>
      </c>
    </row>
    <row r="130" spans="11:15" x14ac:dyDescent="0.35">
      <c r="K130" s="7" t="s">
        <v>28</v>
      </c>
      <c r="L130" s="7" t="s">
        <v>70</v>
      </c>
      <c r="M130" s="7">
        <v>85</v>
      </c>
      <c r="N130" s="10">
        <v>173.77223499999999</v>
      </c>
      <c r="O130" s="10">
        <v>14770.64</v>
      </c>
    </row>
    <row r="131" spans="11:15" x14ac:dyDescent="0.35">
      <c r="K131" s="7" t="s">
        <v>28</v>
      </c>
      <c r="L131" s="7" t="s">
        <v>72</v>
      </c>
      <c r="M131" s="7">
        <v>100</v>
      </c>
      <c r="N131" s="10">
        <v>33.619199999999999</v>
      </c>
      <c r="O131" s="10">
        <v>3361.92</v>
      </c>
    </row>
    <row r="132" spans="11:15" x14ac:dyDescent="0.35">
      <c r="K132" s="7" t="s">
        <v>28</v>
      </c>
      <c r="L132" s="7" t="s">
        <v>71</v>
      </c>
      <c r="M132" s="7">
        <v>83</v>
      </c>
      <c r="N132" s="10">
        <v>29.011565999999998</v>
      </c>
      <c r="O132" s="10">
        <v>2407.96</v>
      </c>
    </row>
    <row r="133" spans="11:15" x14ac:dyDescent="0.35">
      <c r="K133" s="7" t="s">
        <v>28</v>
      </c>
      <c r="L133" s="7" t="s">
        <v>74</v>
      </c>
      <c r="M133" s="7">
        <v>41</v>
      </c>
      <c r="N133" s="10">
        <v>30.208293000000001</v>
      </c>
      <c r="O133" s="10">
        <v>1238.54</v>
      </c>
    </row>
    <row r="134" spans="11:15" x14ac:dyDescent="0.35">
      <c r="K134" s="7" t="s">
        <v>28</v>
      </c>
      <c r="L134" s="7" t="s">
        <v>73</v>
      </c>
      <c r="M134" s="7">
        <v>106</v>
      </c>
      <c r="N134" s="10">
        <v>9.3542450000000006</v>
      </c>
      <c r="O134" s="10">
        <v>991.55</v>
      </c>
    </row>
    <row r="135" spans="11:15" x14ac:dyDescent="0.35">
      <c r="K135" s="7" t="s">
        <v>29</v>
      </c>
      <c r="L135" s="7" t="s">
        <v>69</v>
      </c>
      <c r="M135" s="7">
        <v>120</v>
      </c>
      <c r="N135" s="10">
        <v>470.76483300000001</v>
      </c>
      <c r="O135" s="10">
        <v>56491.78</v>
      </c>
    </row>
    <row r="136" spans="11:15" x14ac:dyDescent="0.35">
      <c r="K136" s="7" t="s">
        <v>29</v>
      </c>
      <c r="L136" s="7" t="s">
        <v>70</v>
      </c>
      <c r="M136" s="7">
        <v>99</v>
      </c>
      <c r="N136" s="10">
        <v>173.39363599999999</v>
      </c>
      <c r="O136" s="10">
        <v>17165.97</v>
      </c>
    </row>
    <row r="137" spans="11:15" x14ac:dyDescent="0.35">
      <c r="K137" s="7" t="s">
        <v>29</v>
      </c>
      <c r="L137" s="7" t="s">
        <v>72</v>
      </c>
      <c r="M137" s="7">
        <v>103</v>
      </c>
      <c r="N137" s="10">
        <v>30.892620999999998</v>
      </c>
      <c r="O137" s="10">
        <v>3181.94</v>
      </c>
    </row>
    <row r="138" spans="11:15" x14ac:dyDescent="0.35">
      <c r="K138" s="7" t="s">
        <v>29</v>
      </c>
      <c r="L138" s="7" t="s">
        <v>71</v>
      </c>
      <c r="M138" s="7">
        <v>66</v>
      </c>
      <c r="N138" s="10">
        <v>26.473635999999999</v>
      </c>
      <c r="O138" s="10">
        <v>1747.26</v>
      </c>
    </row>
    <row r="139" spans="11:15" x14ac:dyDescent="0.35">
      <c r="K139" s="7" t="s">
        <v>29</v>
      </c>
      <c r="L139" s="7" t="s">
        <v>74</v>
      </c>
      <c r="M139" s="7">
        <v>46</v>
      </c>
      <c r="N139" s="10">
        <v>30.588042999999999</v>
      </c>
      <c r="O139" s="10">
        <v>1407.05</v>
      </c>
    </row>
    <row r="140" spans="11:15" x14ac:dyDescent="0.35">
      <c r="K140" s="7" t="s">
        <v>29</v>
      </c>
      <c r="L140" s="7" t="s">
        <v>73</v>
      </c>
      <c r="M140" s="7">
        <v>118</v>
      </c>
      <c r="N140" s="10">
        <v>9.8035589999999999</v>
      </c>
      <c r="O140" s="10">
        <v>1156.82</v>
      </c>
    </row>
    <row r="141" spans="11:15" x14ac:dyDescent="0.35">
      <c r="K141" s="7" t="s">
        <v>30</v>
      </c>
      <c r="L141" s="7" t="s">
        <v>69</v>
      </c>
      <c r="M141" s="7">
        <v>126</v>
      </c>
      <c r="N141" s="10">
        <v>467.506508</v>
      </c>
      <c r="O141" s="10">
        <v>58905.82</v>
      </c>
    </row>
    <row r="142" spans="11:15" x14ac:dyDescent="0.35">
      <c r="K142" s="7" t="s">
        <v>30</v>
      </c>
      <c r="L142" s="7" t="s">
        <v>70</v>
      </c>
      <c r="M142" s="7">
        <v>110</v>
      </c>
      <c r="N142" s="10">
        <v>176.694818</v>
      </c>
      <c r="O142" s="10">
        <v>19436.43</v>
      </c>
    </row>
    <row r="143" spans="11:15" x14ac:dyDescent="0.35">
      <c r="K143" s="7" t="s">
        <v>30</v>
      </c>
      <c r="L143" s="7" t="s">
        <v>72</v>
      </c>
      <c r="M143" s="7">
        <v>82</v>
      </c>
      <c r="N143" s="10">
        <v>32.981462999999998</v>
      </c>
      <c r="O143" s="10">
        <v>2704.48</v>
      </c>
    </row>
    <row r="144" spans="11:15" x14ac:dyDescent="0.35">
      <c r="K144" s="7" t="s">
        <v>30</v>
      </c>
      <c r="L144" s="7" t="s">
        <v>71</v>
      </c>
      <c r="M144" s="7">
        <v>92</v>
      </c>
      <c r="N144" s="10">
        <v>26.975109</v>
      </c>
      <c r="O144" s="10">
        <v>2481.71</v>
      </c>
    </row>
    <row r="145" spans="11:15" x14ac:dyDescent="0.35">
      <c r="K145" s="7" t="s">
        <v>30</v>
      </c>
      <c r="L145" s="7" t="s">
        <v>74</v>
      </c>
      <c r="M145" s="7">
        <v>47</v>
      </c>
      <c r="N145" s="10">
        <v>25.538084999999999</v>
      </c>
      <c r="O145" s="10">
        <v>1200.29</v>
      </c>
    </row>
    <row r="146" spans="11:15" x14ac:dyDescent="0.35">
      <c r="K146" s="7" t="s">
        <v>30</v>
      </c>
      <c r="L146" s="7" t="s">
        <v>73</v>
      </c>
      <c r="M146" s="7">
        <v>104</v>
      </c>
      <c r="N146" s="10">
        <v>10.291058</v>
      </c>
      <c r="O146" s="10">
        <v>1070.27</v>
      </c>
    </row>
    <row r="147" spans="11:15" x14ac:dyDescent="0.35">
      <c r="K147" s="7" t="s">
        <v>31</v>
      </c>
      <c r="L147" s="7" t="s">
        <v>69</v>
      </c>
      <c r="M147" s="7">
        <v>124</v>
      </c>
      <c r="N147" s="10">
        <v>478.33290299999999</v>
      </c>
      <c r="O147" s="10">
        <v>59313.279999999999</v>
      </c>
    </row>
    <row r="148" spans="11:15" x14ac:dyDescent="0.35">
      <c r="K148" s="7" t="s">
        <v>31</v>
      </c>
      <c r="L148" s="7" t="s">
        <v>70</v>
      </c>
      <c r="M148" s="7">
        <v>83</v>
      </c>
      <c r="N148" s="10">
        <v>174.69301200000001</v>
      </c>
      <c r="O148" s="10">
        <v>14499.52</v>
      </c>
    </row>
    <row r="149" spans="11:15" x14ac:dyDescent="0.35">
      <c r="K149" s="7" t="s">
        <v>31</v>
      </c>
      <c r="L149" s="7" t="s">
        <v>72</v>
      </c>
      <c r="M149" s="7">
        <v>123</v>
      </c>
      <c r="N149" s="10">
        <v>34.969593000000003</v>
      </c>
      <c r="O149" s="10">
        <v>4301.26</v>
      </c>
    </row>
    <row r="150" spans="11:15" x14ac:dyDescent="0.35">
      <c r="K150" s="7" t="s">
        <v>31</v>
      </c>
      <c r="L150" s="7" t="s">
        <v>71</v>
      </c>
      <c r="M150" s="7">
        <v>87</v>
      </c>
      <c r="N150" s="10">
        <v>31.717471</v>
      </c>
      <c r="O150" s="10">
        <v>2759.42</v>
      </c>
    </row>
    <row r="151" spans="11:15" x14ac:dyDescent="0.35">
      <c r="K151" s="7" t="s">
        <v>31</v>
      </c>
      <c r="L151" s="7" t="s">
        <v>74</v>
      </c>
      <c r="M151" s="7">
        <v>40</v>
      </c>
      <c r="N151" s="10">
        <v>33.811750000000004</v>
      </c>
      <c r="O151" s="10">
        <v>1352.47</v>
      </c>
    </row>
    <row r="152" spans="11:15" x14ac:dyDescent="0.35">
      <c r="K152" s="7" t="s">
        <v>31</v>
      </c>
      <c r="L152" s="7" t="s">
        <v>73</v>
      </c>
      <c r="M152" s="7">
        <v>117</v>
      </c>
      <c r="N152" s="10">
        <v>9.71265</v>
      </c>
      <c r="O152" s="10">
        <v>1136.3800000000001</v>
      </c>
    </row>
    <row r="153" spans="11:15" x14ac:dyDescent="0.35">
      <c r="K153" s="7" t="s">
        <v>32</v>
      </c>
      <c r="L153" s="7" t="s">
        <v>69</v>
      </c>
      <c r="M153" s="7">
        <v>112</v>
      </c>
      <c r="N153" s="10">
        <v>431.87089300000002</v>
      </c>
      <c r="O153" s="10">
        <v>48369.54</v>
      </c>
    </row>
    <row r="154" spans="11:15" x14ac:dyDescent="0.35">
      <c r="K154" s="7" t="s">
        <v>32</v>
      </c>
      <c r="L154" s="7" t="s">
        <v>70</v>
      </c>
      <c r="M154" s="7">
        <v>57</v>
      </c>
      <c r="N154" s="10">
        <v>161.53894700000001</v>
      </c>
      <c r="O154" s="10">
        <v>9207.7199999999993</v>
      </c>
    </row>
    <row r="155" spans="11:15" x14ac:dyDescent="0.35">
      <c r="K155" s="7" t="s">
        <v>32</v>
      </c>
      <c r="L155" s="7" t="s">
        <v>72</v>
      </c>
      <c r="M155" s="7">
        <v>87</v>
      </c>
      <c r="N155" s="10">
        <v>35.796436999999997</v>
      </c>
      <c r="O155" s="10">
        <v>3114.29</v>
      </c>
    </row>
    <row r="156" spans="11:15" x14ac:dyDescent="0.35">
      <c r="K156" s="7" t="s">
        <v>32</v>
      </c>
      <c r="L156" s="7" t="s">
        <v>71</v>
      </c>
      <c r="M156" s="7">
        <v>72</v>
      </c>
      <c r="N156" s="10">
        <v>31.209582999999999</v>
      </c>
      <c r="O156" s="10">
        <v>2247.09</v>
      </c>
    </row>
    <row r="157" spans="11:15" x14ac:dyDescent="0.35">
      <c r="K157" s="7" t="s">
        <v>32</v>
      </c>
      <c r="L157" s="7" t="s">
        <v>74</v>
      </c>
      <c r="M157" s="7">
        <v>41</v>
      </c>
      <c r="N157" s="10">
        <v>25.72561</v>
      </c>
      <c r="O157" s="10">
        <v>1054.75</v>
      </c>
    </row>
    <row r="158" spans="11:15" x14ac:dyDescent="0.35">
      <c r="K158" s="7" t="s">
        <v>32</v>
      </c>
      <c r="L158" s="7" t="s">
        <v>73</v>
      </c>
      <c r="M158" s="7">
        <v>102</v>
      </c>
      <c r="N158" s="10">
        <v>10.214510000000001</v>
      </c>
      <c r="O158" s="10">
        <v>1041.8800000000001</v>
      </c>
    </row>
    <row r="159" spans="11:15" x14ac:dyDescent="0.35">
      <c r="K159" s="7" t="s">
        <v>33</v>
      </c>
      <c r="L159" s="7" t="s">
        <v>69</v>
      </c>
      <c r="M159" s="7">
        <v>124</v>
      </c>
      <c r="N159" s="10">
        <v>395.477419</v>
      </c>
      <c r="O159" s="10">
        <v>49039.199999999997</v>
      </c>
    </row>
    <row r="160" spans="11:15" x14ac:dyDescent="0.35">
      <c r="K160" s="7" t="s">
        <v>33</v>
      </c>
      <c r="L160" s="7" t="s">
        <v>70</v>
      </c>
      <c r="M160" s="7">
        <v>91</v>
      </c>
      <c r="N160" s="10">
        <v>168.80197799999999</v>
      </c>
      <c r="O160" s="10">
        <v>15360.98</v>
      </c>
    </row>
    <row r="161" spans="11:15" x14ac:dyDescent="0.35">
      <c r="K161" s="7" t="s">
        <v>33</v>
      </c>
      <c r="L161" s="7" t="s">
        <v>72</v>
      </c>
      <c r="M161" s="7">
        <v>122</v>
      </c>
      <c r="N161" s="10">
        <v>34.472048999999998</v>
      </c>
      <c r="O161" s="10">
        <v>4205.59</v>
      </c>
    </row>
    <row r="162" spans="11:15" x14ac:dyDescent="0.35">
      <c r="K162" s="7" t="s">
        <v>33</v>
      </c>
      <c r="L162" s="7" t="s">
        <v>71</v>
      </c>
      <c r="M162" s="7">
        <v>74</v>
      </c>
      <c r="N162" s="10">
        <v>34.202838</v>
      </c>
      <c r="O162" s="10">
        <v>2531.0100000000002</v>
      </c>
    </row>
    <row r="163" spans="11:15" x14ac:dyDescent="0.35">
      <c r="K163" s="7" t="s">
        <v>33</v>
      </c>
      <c r="L163" s="7" t="s">
        <v>74</v>
      </c>
      <c r="M163" s="7">
        <v>55</v>
      </c>
      <c r="N163" s="10">
        <v>29.227454999999999</v>
      </c>
      <c r="O163" s="10">
        <v>1607.51</v>
      </c>
    </row>
    <row r="164" spans="11:15" x14ac:dyDescent="0.35">
      <c r="K164" s="7" t="s">
        <v>33</v>
      </c>
      <c r="L164" s="7" t="s">
        <v>73</v>
      </c>
      <c r="M164" s="7">
        <v>118</v>
      </c>
      <c r="N164" s="10">
        <v>9.3789829999999998</v>
      </c>
      <c r="O164" s="10">
        <v>1106.72</v>
      </c>
    </row>
    <row r="165" spans="11:15" x14ac:dyDescent="0.35">
      <c r="K165" s="7" t="s">
        <v>34</v>
      </c>
      <c r="L165" s="7" t="s">
        <v>69</v>
      </c>
      <c r="M165" s="7">
        <v>117</v>
      </c>
      <c r="N165" s="10">
        <v>473.66093999999998</v>
      </c>
      <c r="O165" s="10">
        <v>55418.33</v>
      </c>
    </row>
    <row r="166" spans="11:15" x14ac:dyDescent="0.35">
      <c r="K166" s="7" t="s">
        <v>34</v>
      </c>
      <c r="L166" s="7" t="s">
        <v>70</v>
      </c>
      <c r="M166" s="7">
        <v>67</v>
      </c>
      <c r="N166" s="10">
        <v>168.46955199999999</v>
      </c>
      <c r="O166" s="10">
        <v>11287.46</v>
      </c>
    </row>
    <row r="167" spans="11:15" x14ac:dyDescent="0.35">
      <c r="K167" s="7" t="s">
        <v>34</v>
      </c>
      <c r="L167" s="7" t="s">
        <v>72</v>
      </c>
      <c r="M167" s="7">
        <v>102</v>
      </c>
      <c r="N167" s="10">
        <v>34.265391999999999</v>
      </c>
      <c r="O167" s="10">
        <v>3495.07</v>
      </c>
    </row>
    <row r="168" spans="11:15" x14ac:dyDescent="0.35">
      <c r="K168" s="7" t="s">
        <v>34</v>
      </c>
      <c r="L168" s="7" t="s">
        <v>71</v>
      </c>
      <c r="M168" s="7">
        <v>67</v>
      </c>
      <c r="N168" s="10">
        <v>34.219253999999999</v>
      </c>
      <c r="O168" s="10">
        <v>2292.69</v>
      </c>
    </row>
    <row r="169" spans="11:15" x14ac:dyDescent="0.35">
      <c r="K169" s="7" t="s">
        <v>34</v>
      </c>
      <c r="L169" s="7" t="s">
        <v>73</v>
      </c>
      <c r="M169" s="7">
        <v>118</v>
      </c>
      <c r="N169" s="10">
        <v>9.772627</v>
      </c>
      <c r="O169" s="10">
        <v>1153.17</v>
      </c>
    </row>
    <row r="170" spans="11:15" x14ac:dyDescent="0.35">
      <c r="K170" s="7" t="s">
        <v>34</v>
      </c>
      <c r="L170" s="7" t="s">
        <v>74</v>
      </c>
      <c r="M170" s="7">
        <v>40</v>
      </c>
      <c r="N170" s="10">
        <v>27.908000000000001</v>
      </c>
      <c r="O170" s="10">
        <v>1116.32</v>
      </c>
    </row>
    <row r="171" spans="11:15" x14ac:dyDescent="0.35">
      <c r="K171" s="7" t="s">
        <v>35</v>
      </c>
      <c r="L171" s="7" t="s">
        <v>69</v>
      </c>
      <c r="M171" s="7">
        <v>108</v>
      </c>
      <c r="N171" s="10">
        <v>482.59768500000001</v>
      </c>
      <c r="O171" s="10">
        <v>52120.55</v>
      </c>
    </row>
    <row r="172" spans="11:15" x14ac:dyDescent="0.35">
      <c r="K172" s="7" t="s">
        <v>35</v>
      </c>
      <c r="L172" s="7" t="s">
        <v>70</v>
      </c>
      <c r="M172" s="7">
        <v>104</v>
      </c>
      <c r="N172" s="10">
        <v>161.429135</v>
      </c>
      <c r="O172" s="10">
        <v>16788.63</v>
      </c>
    </row>
    <row r="173" spans="11:15" x14ac:dyDescent="0.35">
      <c r="K173" s="7" t="s">
        <v>35</v>
      </c>
      <c r="L173" s="7" t="s">
        <v>71</v>
      </c>
      <c r="M173" s="7">
        <v>94</v>
      </c>
      <c r="N173" s="10">
        <v>36.662979</v>
      </c>
      <c r="O173" s="10">
        <v>3446.32</v>
      </c>
    </row>
    <row r="174" spans="11:15" x14ac:dyDescent="0.35">
      <c r="K174" s="7" t="s">
        <v>35</v>
      </c>
      <c r="L174" s="7" t="s">
        <v>72</v>
      </c>
      <c r="M174" s="7">
        <v>107</v>
      </c>
      <c r="N174" s="10">
        <v>31.280934999999999</v>
      </c>
      <c r="O174" s="10">
        <v>3347.06</v>
      </c>
    </row>
    <row r="175" spans="11:15" x14ac:dyDescent="0.35">
      <c r="K175" s="7" t="s">
        <v>35</v>
      </c>
      <c r="L175" s="7" t="s">
        <v>74</v>
      </c>
      <c r="M175" s="7">
        <v>47</v>
      </c>
      <c r="N175" s="10">
        <v>29.500851000000001</v>
      </c>
      <c r="O175" s="10">
        <v>1386.54</v>
      </c>
    </row>
    <row r="176" spans="11:15" x14ac:dyDescent="0.35">
      <c r="K176" s="7" t="s">
        <v>35</v>
      </c>
      <c r="L176" s="7" t="s">
        <v>73</v>
      </c>
      <c r="M176" s="7">
        <v>129</v>
      </c>
      <c r="N176" s="10">
        <v>9.586589</v>
      </c>
      <c r="O176" s="10">
        <v>1236.67</v>
      </c>
    </row>
    <row r="177" spans="11:15" x14ac:dyDescent="0.35">
      <c r="K177" s="7" t="s">
        <v>36</v>
      </c>
      <c r="L177" s="7" t="s">
        <v>69</v>
      </c>
      <c r="M177" s="7">
        <v>108</v>
      </c>
      <c r="N177" s="10">
        <v>439.61796299999997</v>
      </c>
      <c r="O177" s="10">
        <v>47478.74</v>
      </c>
    </row>
    <row r="178" spans="11:15" x14ac:dyDescent="0.35">
      <c r="K178" s="7" t="s">
        <v>36</v>
      </c>
      <c r="L178" s="7" t="s">
        <v>70</v>
      </c>
      <c r="M178" s="7">
        <v>87</v>
      </c>
      <c r="N178" s="10">
        <v>177.465057</v>
      </c>
      <c r="O178" s="10">
        <v>15439.46</v>
      </c>
    </row>
    <row r="179" spans="11:15" x14ac:dyDescent="0.35">
      <c r="K179" s="7" t="s">
        <v>36</v>
      </c>
      <c r="L179" s="7" t="s">
        <v>72</v>
      </c>
      <c r="M179" s="7">
        <v>109</v>
      </c>
      <c r="N179" s="10">
        <v>33.254679000000003</v>
      </c>
      <c r="O179" s="10">
        <v>3624.76</v>
      </c>
    </row>
    <row r="180" spans="11:15" x14ac:dyDescent="0.35">
      <c r="K180" s="7" t="s">
        <v>36</v>
      </c>
      <c r="L180" s="7" t="s">
        <v>71</v>
      </c>
      <c r="M180" s="7">
        <v>79</v>
      </c>
      <c r="N180" s="10">
        <v>32.736075999999997</v>
      </c>
      <c r="O180" s="10">
        <v>2586.15</v>
      </c>
    </row>
    <row r="181" spans="11:15" x14ac:dyDescent="0.35">
      <c r="K181" s="7" t="s">
        <v>36</v>
      </c>
      <c r="L181" s="7" t="s">
        <v>74</v>
      </c>
      <c r="M181" s="7">
        <v>55</v>
      </c>
      <c r="N181" s="10">
        <v>32.602908999999997</v>
      </c>
      <c r="O181" s="10">
        <v>1793.16</v>
      </c>
    </row>
    <row r="182" spans="11:15" x14ac:dyDescent="0.35">
      <c r="K182" s="7" t="s">
        <v>36</v>
      </c>
      <c r="L182" s="7" t="s">
        <v>73</v>
      </c>
      <c r="M182" s="7">
        <v>115</v>
      </c>
      <c r="N182" s="10">
        <v>9.9934779999999996</v>
      </c>
      <c r="O182" s="10">
        <v>1149.25</v>
      </c>
    </row>
    <row r="183" spans="11:15" x14ac:dyDescent="0.35">
      <c r="K183" s="7" t="s">
        <v>37</v>
      </c>
      <c r="L183" s="7" t="s">
        <v>69</v>
      </c>
      <c r="M183" s="7">
        <v>114</v>
      </c>
      <c r="N183" s="10">
        <v>389.28578900000002</v>
      </c>
      <c r="O183" s="10">
        <v>44378.58</v>
      </c>
    </row>
    <row r="184" spans="11:15" x14ac:dyDescent="0.35">
      <c r="K184" s="7" t="s">
        <v>37</v>
      </c>
      <c r="L184" s="7" t="s">
        <v>70</v>
      </c>
      <c r="M184" s="7">
        <v>109</v>
      </c>
      <c r="N184" s="10">
        <v>176.66889900000001</v>
      </c>
      <c r="O184" s="10">
        <v>19256.91</v>
      </c>
    </row>
    <row r="185" spans="11:15" x14ac:dyDescent="0.35">
      <c r="K185" s="7" t="s">
        <v>37</v>
      </c>
      <c r="L185" s="7" t="s">
        <v>72</v>
      </c>
      <c r="M185" s="7">
        <v>118</v>
      </c>
      <c r="N185" s="10">
        <v>30.590847</v>
      </c>
      <c r="O185" s="10">
        <v>3609.72</v>
      </c>
    </row>
    <row r="186" spans="11:15" x14ac:dyDescent="0.35">
      <c r="K186" s="7" t="s">
        <v>37</v>
      </c>
      <c r="L186" s="7" t="s">
        <v>71</v>
      </c>
      <c r="M186" s="7">
        <v>72</v>
      </c>
      <c r="N186" s="10">
        <v>30.958472</v>
      </c>
      <c r="O186" s="10">
        <v>2229.0100000000002</v>
      </c>
    </row>
    <row r="187" spans="11:15" x14ac:dyDescent="0.35">
      <c r="K187" s="7" t="s">
        <v>37</v>
      </c>
      <c r="L187" s="7" t="s">
        <v>73</v>
      </c>
      <c r="M187" s="7">
        <v>110</v>
      </c>
      <c r="N187" s="10">
        <v>10.359636</v>
      </c>
      <c r="O187" s="10">
        <v>1139.56</v>
      </c>
    </row>
    <row r="188" spans="11:15" x14ac:dyDescent="0.35">
      <c r="K188" s="7" t="s">
        <v>37</v>
      </c>
      <c r="L188" s="7" t="s">
        <v>74</v>
      </c>
      <c r="M188" s="7">
        <v>39</v>
      </c>
      <c r="N188" s="10">
        <v>25.96641</v>
      </c>
      <c r="O188" s="10">
        <v>1012.69</v>
      </c>
    </row>
    <row r="189" spans="11:15" x14ac:dyDescent="0.35">
      <c r="K189" s="7" t="s">
        <v>38</v>
      </c>
      <c r="L189" s="7" t="s">
        <v>69</v>
      </c>
      <c r="M189" s="7">
        <v>138</v>
      </c>
      <c r="N189" s="10">
        <v>472.70869599999997</v>
      </c>
      <c r="O189" s="10">
        <v>65233.8</v>
      </c>
    </row>
    <row r="190" spans="11:15" x14ac:dyDescent="0.35">
      <c r="K190" s="7" t="s">
        <v>38</v>
      </c>
      <c r="L190" s="7" t="s">
        <v>70</v>
      </c>
      <c r="M190" s="7">
        <v>96</v>
      </c>
      <c r="N190" s="10">
        <v>181.46562499999999</v>
      </c>
      <c r="O190" s="10">
        <v>17420.7</v>
      </c>
    </row>
    <row r="191" spans="11:15" x14ac:dyDescent="0.35">
      <c r="K191" s="7" t="s">
        <v>38</v>
      </c>
      <c r="L191" s="7" t="s">
        <v>72</v>
      </c>
      <c r="M191" s="7">
        <v>103</v>
      </c>
      <c r="N191" s="10">
        <v>29.844175</v>
      </c>
      <c r="O191" s="10">
        <v>3073.95</v>
      </c>
    </row>
    <row r="192" spans="11:15" x14ac:dyDescent="0.35">
      <c r="K192" s="7" t="s">
        <v>38</v>
      </c>
      <c r="L192" s="7" t="s">
        <v>71</v>
      </c>
      <c r="M192" s="7">
        <v>72</v>
      </c>
      <c r="N192" s="10">
        <v>26.43375</v>
      </c>
      <c r="O192" s="10">
        <v>1903.23</v>
      </c>
    </row>
    <row r="193" spans="11:15" x14ac:dyDescent="0.35">
      <c r="K193" s="7" t="s">
        <v>38</v>
      </c>
      <c r="L193" s="7" t="s">
        <v>74</v>
      </c>
      <c r="M193" s="7">
        <v>50</v>
      </c>
      <c r="N193" s="10">
        <v>24.3368</v>
      </c>
      <c r="O193" s="10">
        <v>1216.8399999999999</v>
      </c>
    </row>
    <row r="194" spans="11:15" x14ac:dyDescent="0.35">
      <c r="K194" s="7" t="s">
        <v>38</v>
      </c>
      <c r="L194" s="7" t="s">
        <v>73</v>
      </c>
      <c r="M194" s="7">
        <v>108</v>
      </c>
      <c r="N194" s="10">
        <v>10.782963000000001</v>
      </c>
      <c r="O194" s="10">
        <v>1164.56</v>
      </c>
    </row>
    <row r="195" spans="11:15" x14ac:dyDescent="0.35">
      <c r="K195" s="7" t="s">
        <v>39</v>
      </c>
      <c r="L195" s="7" t="s">
        <v>69</v>
      </c>
      <c r="M195" s="7">
        <v>99</v>
      </c>
      <c r="N195" s="10">
        <v>513.20343400000002</v>
      </c>
      <c r="O195" s="10">
        <v>50807.14</v>
      </c>
    </row>
    <row r="196" spans="11:15" x14ac:dyDescent="0.35">
      <c r="K196" s="7" t="s">
        <v>39</v>
      </c>
      <c r="L196" s="7" t="s">
        <v>70</v>
      </c>
      <c r="M196" s="7">
        <v>81</v>
      </c>
      <c r="N196" s="10">
        <v>176.13938300000001</v>
      </c>
      <c r="O196" s="10">
        <v>14267.29</v>
      </c>
    </row>
    <row r="197" spans="11:15" x14ac:dyDescent="0.35">
      <c r="K197" s="7" t="s">
        <v>39</v>
      </c>
      <c r="L197" s="7" t="s">
        <v>72</v>
      </c>
      <c r="M197" s="7">
        <v>99</v>
      </c>
      <c r="N197" s="10">
        <v>33.692121</v>
      </c>
      <c r="O197" s="10">
        <v>3335.52</v>
      </c>
    </row>
    <row r="198" spans="11:15" x14ac:dyDescent="0.35">
      <c r="K198" s="7" t="s">
        <v>39</v>
      </c>
      <c r="L198" s="7" t="s">
        <v>71</v>
      </c>
      <c r="M198" s="7">
        <v>80</v>
      </c>
      <c r="N198" s="10">
        <v>29.474499999999999</v>
      </c>
      <c r="O198" s="10">
        <v>2357.96</v>
      </c>
    </row>
    <row r="199" spans="11:15" x14ac:dyDescent="0.35">
      <c r="K199" s="7" t="s">
        <v>39</v>
      </c>
      <c r="L199" s="7" t="s">
        <v>74</v>
      </c>
      <c r="M199" s="7">
        <v>40</v>
      </c>
      <c r="N199" s="10">
        <v>30.240500000000001</v>
      </c>
      <c r="O199" s="10">
        <v>1209.6199999999999</v>
      </c>
    </row>
    <row r="200" spans="11:15" x14ac:dyDescent="0.35">
      <c r="K200" s="7" t="s">
        <v>39</v>
      </c>
      <c r="L200" s="7" t="s">
        <v>73</v>
      </c>
      <c r="M200" s="7">
        <v>103</v>
      </c>
      <c r="N200" s="10">
        <v>9.4009710000000002</v>
      </c>
      <c r="O200" s="10">
        <v>968.3</v>
      </c>
    </row>
    <row r="201" spans="11:15" x14ac:dyDescent="0.35">
      <c r="K201" s="7" t="s">
        <v>40</v>
      </c>
      <c r="L201" s="7" t="s">
        <v>69</v>
      </c>
      <c r="M201" s="7">
        <v>124</v>
      </c>
      <c r="N201" s="10">
        <v>467.05935499999998</v>
      </c>
      <c r="O201" s="10">
        <v>57915.360000000001</v>
      </c>
    </row>
    <row r="202" spans="11:15" x14ac:dyDescent="0.35">
      <c r="K202" s="7" t="s">
        <v>40</v>
      </c>
      <c r="L202" s="7" t="s">
        <v>70</v>
      </c>
      <c r="M202" s="7">
        <v>102</v>
      </c>
      <c r="N202" s="10">
        <v>173.51196100000001</v>
      </c>
      <c r="O202" s="10">
        <v>17698.22</v>
      </c>
    </row>
    <row r="203" spans="11:15" x14ac:dyDescent="0.35">
      <c r="K203" s="7" t="s">
        <v>40</v>
      </c>
      <c r="L203" s="7" t="s">
        <v>72</v>
      </c>
      <c r="M203" s="7">
        <v>104</v>
      </c>
      <c r="N203" s="10">
        <v>31.672499999999999</v>
      </c>
      <c r="O203" s="10">
        <v>3293.94</v>
      </c>
    </row>
    <row r="204" spans="11:15" x14ac:dyDescent="0.35">
      <c r="K204" s="7" t="s">
        <v>40</v>
      </c>
      <c r="L204" s="7" t="s">
        <v>71</v>
      </c>
      <c r="M204" s="7">
        <v>69</v>
      </c>
      <c r="N204" s="10">
        <v>26.645942000000002</v>
      </c>
      <c r="O204" s="10">
        <v>1838.57</v>
      </c>
    </row>
    <row r="205" spans="11:15" x14ac:dyDescent="0.35">
      <c r="K205" s="7" t="s">
        <v>40</v>
      </c>
      <c r="L205" s="7" t="s">
        <v>74</v>
      </c>
      <c r="M205" s="7">
        <v>48</v>
      </c>
      <c r="N205" s="10">
        <v>30.284791999999999</v>
      </c>
      <c r="O205" s="10">
        <v>1453.67</v>
      </c>
    </row>
    <row r="206" spans="11:15" x14ac:dyDescent="0.35">
      <c r="K206" s="7" t="s">
        <v>40</v>
      </c>
      <c r="L206" s="7" t="s">
        <v>73</v>
      </c>
      <c r="M206" s="7">
        <v>121</v>
      </c>
      <c r="N206" s="10">
        <v>9.8257849999999998</v>
      </c>
      <c r="O206" s="10">
        <v>1188.92</v>
      </c>
    </row>
    <row r="207" spans="11:15" x14ac:dyDescent="0.35">
      <c r="K207" s="7" t="s">
        <v>41</v>
      </c>
      <c r="L207" s="7" t="s">
        <v>69</v>
      </c>
      <c r="M207" s="7">
        <v>122</v>
      </c>
      <c r="N207" s="10">
        <v>471.16590200000002</v>
      </c>
      <c r="O207" s="10">
        <v>57482.239999999998</v>
      </c>
    </row>
    <row r="208" spans="11:15" x14ac:dyDescent="0.35">
      <c r="K208" s="7" t="s">
        <v>41</v>
      </c>
      <c r="L208" s="7" t="s">
        <v>70</v>
      </c>
      <c r="M208" s="7">
        <v>107</v>
      </c>
      <c r="N208" s="10">
        <v>176.67457899999999</v>
      </c>
      <c r="O208" s="10">
        <v>18904.18</v>
      </c>
    </row>
    <row r="209" spans="11:15" x14ac:dyDescent="0.35">
      <c r="K209" s="7" t="s">
        <v>41</v>
      </c>
      <c r="L209" s="7" t="s">
        <v>72</v>
      </c>
      <c r="M209" s="7">
        <v>81</v>
      </c>
      <c r="N209" s="10">
        <v>32.005926000000002</v>
      </c>
      <c r="O209" s="10">
        <v>2592.48</v>
      </c>
    </row>
    <row r="210" spans="11:15" x14ac:dyDescent="0.35">
      <c r="K210" s="7" t="s">
        <v>41</v>
      </c>
      <c r="L210" s="7" t="s">
        <v>71</v>
      </c>
      <c r="M210" s="7">
        <v>89</v>
      </c>
      <c r="N210" s="10">
        <v>26.858426999999999</v>
      </c>
      <c r="O210" s="10">
        <v>2390.4</v>
      </c>
    </row>
    <row r="211" spans="11:15" x14ac:dyDescent="0.35">
      <c r="K211" s="7" t="s">
        <v>41</v>
      </c>
      <c r="L211" s="7" t="s">
        <v>74</v>
      </c>
      <c r="M211" s="7">
        <v>45</v>
      </c>
      <c r="N211" s="10">
        <v>25.637111000000001</v>
      </c>
      <c r="O211" s="10">
        <v>1153.67</v>
      </c>
    </row>
    <row r="212" spans="11:15" x14ac:dyDescent="0.35">
      <c r="K212" s="7" t="s">
        <v>41</v>
      </c>
      <c r="L212" s="7" t="s">
        <v>73</v>
      </c>
      <c r="M212" s="7">
        <v>101</v>
      </c>
      <c r="N212" s="10">
        <v>10.278911000000001</v>
      </c>
      <c r="O212" s="10">
        <v>1038.17</v>
      </c>
    </row>
    <row r="213" spans="11:15" x14ac:dyDescent="0.35">
      <c r="K213" s="7" t="s">
        <v>42</v>
      </c>
      <c r="L213" s="7" t="s">
        <v>69</v>
      </c>
      <c r="M213" s="7">
        <v>110</v>
      </c>
      <c r="N213" s="10">
        <v>447.18881800000003</v>
      </c>
      <c r="O213" s="10">
        <v>49190.77</v>
      </c>
    </row>
    <row r="214" spans="11:15" x14ac:dyDescent="0.35">
      <c r="K214" s="7" t="s">
        <v>42</v>
      </c>
      <c r="L214" s="7" t="s">
        <v>70</v>
      </c>
      <c r="M214" s="7">
        <v>71</v>
      </c>
      <c r="N214" s="10">
        <v>172.51253500000001</v>
      </c>
      <c r="O214" s="10">
        <v>12248.39</v>
      </c>
    </row>
    <row r="215" spans="11:15" x14ac:dyDescent="0.35">
      <c r="K215" s="7" t="s">
        <v>42</v>
      </c>
      <c r="L215" s="7" t="s">
        <v>72</v>
      </c>
      <c r="M215" s="7">
        <v>103</v>
      </c>
      <c r="N215" s="10">
        <v>34.370776999999997</v>
      </c>
      <c r="O215" s="10">
        <v>3540.19</v>
      </c>
    </row>
    <row r="216" spans="11:15" x14ac:dyDescent="0.35">
      <c r="K216" s="7" t="s">
        <v>42</v>
      </c>
      <c r="L216" s="7" t="s">
        <v>71</v>
      </c>
      <c r="M216" s="7">
        <v>96</v>
      </c>
      <c r="N216" s="10">
        <v>34.249375000000001</v>
      </c>
      <c r="O216" s="10">
        <v>3287.94</v>
      </c>
    </row>
    <row r="217" spans="11:15" x14ac:dyDescent="0.35">
      <c r="K217" s="7" t="s">
        <v>42</v>
      </c>
      <c r="L217" s="7" t="s">
        <v>74</v>
      </c>
      <c r="M217" s="7">
        <v>41</v>
      </c>
      <c r="N217" s="10">
        <v>29.594878000000001</v>
      </c>
      <c r="O217" s="10">
        <v>1213.3900000000001</v>
      </c>
    </row>
    <row r="218" spans="11:15" x14ac:dyDescent="0.35">
      <c r="K218" s="7" t="s">
        <v>42</v>
      </c>
      <c r="L218" s="7" t="s">
        <v>73</v>
      </c>
      <c r="M218" s="7">
        <v>110</v>
      </c>
      <c r="N218" s="10">
        <v>10.082091</v>
      </c>
      <c r="O218" s="10">
        <v>1109.03</v>
      </c>
    </row>
    <row r="219" spans="11:15" x14ac:dyDescent="0.35">
      <c r="K219" s="7" t="s">
        <v>43</v>
      </c>
      <c r="L219" s="7" t="s">
        <v>69</v>
      </c>
      <c r="M219" s="7">
        <v>176</v>
      </c>
      <c r="N219" s="10">
        <v>532.43051100000002</v>
      </c>
      <c r="O219" s="10">
        <v>93707.77</v>
      </c>
    </row>
    <row r="220" spans="11:15" x14ac:dyDescent="0.35">
      <c r="K220" s="7" t="s">
        <v>43</v>
      </c>
      <c r="L220" s="7" t="s">
        <v>70</v>
      </c>
      <c r="M220" s="7">
        <v>45</v>
      </c>
      <c r="N220" s="10">
        <v>174.33266699999999</v>
      </c>
      <c r="O220" s="10">
        <v>7844.97</v>
      </c>
    </row>
    <row r="221" spans="11:15" x14ac:dyDescent="0.35">
      <c r="K221" s="7" t="s">
        <v>43</v>
      </c>
      <c r="L221" s="7" t="s">
        <v>72</v>
      </c>
      <c r="M221" s="7">
        <v>192</v>
      </c>
      <c r="N221" s="10">
        <v>32.280259999999998</v>
      </c>
      <c r="O221" s="10">
        <v>6197.81</v>
      </c>
    </row>
    <row r="222" spans="11:15" x14ac:dyDescent="0.35">
      <c r="K222" s="7" t="s">
        <v>43</v>
      </c>
      <c r="L222" s="7" t="s">
        <v>71</v>
      </c>
      <c r="M222" s="7">
        <v>165</v>
      </c>
      <c r="N222" s="10">
        <v>34.685212</v>
      </c>
      <c r="O222" s="10">
        <v>5723.06</v>
      </c>
    </row>
    <row r="223" spans="11:15" x14ac:dyDescent="0.35">
      <c r="K223" s="7" t="s">
        <v>43</v>
      </c>
      <c r="L223" s="7" t="s">
        <v>74</v>
      </c>
      <c r="M223" s="7">
        <v>96</v>
      </c>
      <c r="N223" s="10">
        <v>33.958542000000001</v>
      </c>
      <c r="O223" s="10">
        <v>3260.02</v>
      </c>
    </row>
    <row r="224" spans="11:15" x14ac:dyDescent="0.35">
      <c r="K224" s="7" t="s">
        <v>43</v>
      </c>
      <c r="L224" s="7" t="s">
        <v>73</v>
      </c>
      <c r="M224" s="7">
        <v>199</v>
      </c>
      <c r="N224" s="10">
        <v>9.6545229999999993</v>
      </c>
      <c r="O224" s="10">
        <v>1921.25</v>
      </c>
    </row>
    <row r="225" spans="11:15" x14ac:dyDescent="0.35">
      <c r="K225" s="7" t="s">
        <v>44</v>
      </c>
      <c r="L225" s="7" t="s">
        <v>69</v>
      </c>
      <c r="M225" s="7">
        <v>164</v>
      </c>
      <c r="N225" s="10">
        <v>506.54048799999998</v>
      </c>
      <c r="O225" s="10">
        <v>83072.639999999999</v>
      </c>
    </row>
    <row r="226" spans="11:15" x14ac:dyDescent="0.35">
      <c r="K226" s="7" t="s">
        <v>44</v>
      </c>
      <c r="L226" s="7" t="s">
        <v>70</v>
      </c>
      <c r="M226" s="7">
        <v>50</v>
      </c>
      <c r="N226" s="10">
        <v>166.73140000000001</v>
      </c>
      <c r="O226" s="10">
        <v>8336.57</v>
      </c>
    </row>
    <row r="227" spans="11:15" x14ac:dyDescent="0.35">
      <c r="K227" s="7" t="s">
        <v>44</v>
      </c>
      <c r="L227" s="7" t="s">
        <v>72</v>
      </c>
      <c r="M227" s="7">
        <v>154</v>
      </c>
      <c r="N227" s="10">
        <v>33.338312000000002</v>
      </c>
      <c r="O227" s="10">
        <v>5134.1000000000004</v>
      </c>
    </row>
    <row r="228" spans="11:15" x14ac:dyDescent="0.35">
      <c r="K228" s="7" t="s">
        <v>44</v>
      </c>
      <c r="L228" s="7" t="s">
        <v>71</v>
      </c>
      <c r="M228" s="7">
        <v>161</v>
      </c>
      <c r="N228" s="10">
        <v>31.721924999999999</v>
      </c>
      <c r="O228" s="10">
        <v>5107.2299999999996</v>
      </c>
    </row>
    <row r="229" spans="11:15" x14ac:dyDescent="0.35">
      <c r="K229" s="7" t="s">
        <v>44</v>
      </c>
      <c r="L229" s="7" t="s">
        <v>73</v>
      </c>
      <c r="M229" s="7">
        <v>175</v>
      </c>
      <c r="N229" s="10">
        <v>9.8032570000000003</v>
      </c>
      <c r="O229" s="10">
        <v>1715.57</v>
      </c>
    </row>
    <row r="230" spans="11:15" x14ac:dyDescent="0.35">
      <c r="K230" s="7" t="s">
        <v>44</v>
      </c>
      <c r="L230" s="7" t="s">
        <v>74</v>
      </c>
      <c r="M230" s="7">
        <v>56</v>
      </c>
      <c r="N230" s="10">
        <v>30.186786000000001</v>
      </c>
      <c r="O230" s="10">
        <v>1690.46</v>
      </c>
    </row>
    <row r="231" spans="11:15" x14ac:dyDescent="0.35">
      <c r="K231" s="7" t="s">
        <v>45</v>
      </c>
      <c r="L231" s="7" t="s">
        <v>69</v>
      </c>
      <c r="M231" s="7">
        <v>182</v>
      </c>
      <c r="N231" s="10">
        <v>452.34472499999998</v>
      </c>
      <c r="O231" s="10">
        <v>82326.740000000005</v>
      </c>
    </row>
    <row r="232" spans="11:15" x14ac:dyDescent="0.35">
      <c r="K232" s="7" t="s">
        <v>45</v>
      </c>
      <c r="L232" s="7" t="s">
        <v>70</v>
      </c>
      <c r="M232" s="7">
        <v>62</v>
      </c>
      <c r="N232" s="10">
        <v>177.460645</v>
      </c>
      <c r="O232" s="10">
        <v>11002.56</v>
      </c>
    </row>
    <row r="233" spans="11:15" x14ac:dyDescent="0.35">
      <c r="K233" s="7" t="s">
        <v>45</v>
      </c>
      <c r="L233" s="7" t="s">
        <v>72</v>
      </c>
      <c r="M233" s="7">
        <v>162</v>
      </c>
      <c r="N233" s="10">
        <v>34.167963</v>
      </c>
      <c r="O233" s="10">
        <v>5535.21</v>
      </c>
    </row>
    <row r="234" spans="11:15" x14ac:dyDescent="0.35">
      <c r="K234" s="7" t="s">
        <v>45</v>
      </c>
      <c r="L234" s="7" t="s">
        <v>71</v>
      </c>
      <c r="M234" s="7">
        <v>146</v>
      </c>
      <c r="N234" s="10">
        <v>32.159109999999998</v>
      </c>
      <c r="O234" s="10">
        <v>4695.2299999999996</v>
      </c>
    </row>
    <row r="235" spans="11:15" x14ac:dyDescent="0.35">
      <c r="K235" s="7" t="s">
        <v>45</v>
      </c>
      <c r="L235" s="7" t="s">
        <v>74</v>
      </c>
      <c r="M235" s="7">
        <v>99</v>
      </c>
      <c r="N235" s="10">
        <v>31.627071000000001</v>
      </c>
      <c r="O235" s="10">
        <v>3131.08</v>
      </c>
    </row>
    <row r="236" spans="11:15" x14ac:dyDescent="0.35">
      <c r="K236" s="7" t="s">
        <v>45</v>
      </c>
      <c r="L236" s="7" t="s">
        <v>73</v>
      </c>
      <c r="M236" s="7">
        <v>203</v>
      </c>
      <c r="N236" s="10">
        <v>9.7222170000000006</v>
      </c>
      <c r="O236" s="10">
        <v>1973.61</v>
      </c>
    </row>
    <row r="237" spans="11:15" x14ac:dyDescent="0.35">
      <c r="K237" s="7" t="s">
        <v>46</v>
      </c>
      <c r="L237" s="7" t="s">
        <v>69</v>
      </c>
      <c r="M237" s="7">
        <v>150</v>
      </c>
      <c r="N237" s="10">
        <v>508.83179999999999</v>
      </c>
      <c r="O237" s="10">
        <v>76324.77</v>
      </c>
    </row>
    <row r="238" spans="11:15" x14ac:dyDescent="0.35">
      <c r="K238" s="7" t="s">
        <v>46</v>
      </c>
      <c r="L238" s="7" t="s">
        <v>70</v>
      </c>
      <c r="M238" s="7">
        <v>113</v>
      </c>
      <c r="N238" s="10">
        <v>169.62823</v>
      </c>
      <c r="O238" s="10">
        <v>19167.990000000002</v>
      </c>
    </row>
    <row r="239" spans="11:15" x14ac:dyDescent="0.35">
      <c r="K239" s="7" t="s">
        <v>46</v>
      </c>
      <c r="L239" s="7" t="s">
        <v>71</v>
      </c>
      <c r="M239" s="7">
        <v>230</v>
      </c>
      <c r="N239" s="10">
        <v>38.438825999999999</v>
      </c>
      <c r="O239" s="10">
        <v>8840.93</v>
      </c>
    </row>
    <row r="240" spans="11:15" x14ac:dyDescent="0.35">
      <c r="K240" s="7" t="s">
        <v>46</v>
      </c>
      <c r="L240" s="7" t="s">
        <v>72</v>
      </c>
      <c r="M240" s="7">
        <v>242</v>
      </c>
      <c r="N240" s="10">
        <v>32.942686000000002</v>
      </c>
      <c r="O240" s="10">
        <v>7972.13</v>
      </c>
    </row>
    <row r="241" spans="11:15" x14ac:dyDescent="0.35">
      <c r="K241" s="7" t="s">
        <v>46</v>
      </c>
      <c r="L241" s="7" t="s">
        <v>73</v>
      </c>
      <c r="M241" s="7">
        <v>270</v>
      </c>
      <c r="N241" s="10">
        <v>10.087519</v>
      </c>
      <c r="O241" s="10">
        <v>2723.63</v>
      </c>
    </row>
    <row r="242" spans="11:15" x14ac:dyDescent="0.35">
      <c r="K242" s="7" t="s">
        <v>46</v>
      </c>
      <c r="L242" s="7" t="s">
        <v>74</v>
      </c>
      <c r="M242" s="7">
        <v>95</v>
      </c>
      <c r="N242" s="10">
        <v>28.453263</v>
      </c>
      <c r="O242" s="10">
        <v>2703.06</v>
      </c>
    </row>
    <row r="243" spans="11:15" x14ac:dyDescent="0.35">
      <c r="K243" s="7" t="s">
        <v>47</v>
      </c>
      <c r="L243" s="7" t="s">
        <v>69</v>
      </c>
      <c r="M243" s="7">
        <v>163</v>
      </c>
      <c r="N243" s="10">
        <v>486.73552100000001</v>
      </c>
      <c r="O243" s="10">
        <v>79337.89</v>
      </c>
    </row>
    <row r="244" spans="11:15" x14ac:dyDescent="0.35">
      <c r="K244" s="7" t="s">
        <v>47</v>
      </c>
      <c r="L244" s="7" t="s">
        <v>70</v>
      </c>
      <c r="M244" s="7">
        <v>135</v>
      </c>
      <c r="N244" s="10">
        <v>176.15222199999999</v>
      </c>
      <c r="O244" s="10">
        <v>23780.55</v>
      </c>
    </row>
    <row r="245" spans="11:15" x14ac:dyDescent="0.35">
      <c r="K245" s="7" t="s">
        <v>47</v>
      </c>
      <c r="L245" s="7" t="s">
        <v>72</v>
      </c>
      <c r="M245" s="7">
        <v>256</v>
      </c>
      <c r="N245" s="10">
        <v>32.249727</v>
      </c>
      <c r="O245" s="10">
        <v>8255.93</v>
      </c>
    </row>
    <row r="246" spans="11:15" x14ac:dyDescent="0.35">
      <c r="K246" s="7" t="s">
        <v>47</v>
      </c>
      <c r="L246" s="7" t="s">
        <v>71</v>
      </c>
      <c r="M246" s="7">
        <v>211</v>
      </c>
      <c r="N246" s="10">
        <v>34.186824999999999</v>
      </c>
      <c r="O246" s="10">
        <v>7213.42</v>
      </c>
    </row>
    <row r="247" spans="11:15" x14ac:dyDescent="0.35">
      <c r="K247" s="7" t="s">
        <v>47</v>
      </c>
      <c r="L247" s="7" t="s">
        <v>74</v>
      </c>
      <c r="M247" s="7">
        <v>94</v>
      </c>
      <c r="N247" s="10">
        <v>36.439574</v>
      </c>
      <c r="O247" s="10">
        <v>3425.32</v>
      </c>
    </row>
    <row r="248" spans="11:15" x14ac:dyDescent="0.35">
      <c r="K248" s="7" t="s">
        <v>47</v>
      </c>
      <c r="L248" s="7" t="s">
        <v>73</v>
      </c>
      <c r="M248" s="7">
        <v>315</v>
      </c>
      <c r="N248" s="10">
        <v>10.020856999999999</v>
      </c>
      <c r="O248" s="10">
        <v>3156.57</v>
      </c>
    </row>
    <row r="249" spans="11:15" x14ac:dyDescent="0.35">
      <c r="K249" s="7" t="s">
        <v>48</v>
      </c>
      <c r="L249" s="7" t="s">
        <v>69</v>
      </c>
      <c r="M249" s="7">
        <v>129</v>
      </c>
      <c r="N249" s="10">
        <v>478.10085299999997</v>
      </c>
      <c r="O249" s="10">
        <v>61675.01</v>
      </c>
    </row>
    <row r="250" spans="11:15" x14ac:dyDescent="0.35">
      <c r="K250" s="7" t="s">
        <v>48</v>
      </c>
      <c r="L250" s="7" t="s">
        <v>70</v>
      </c>
      <c r="M250" s="7">
        <v>112</v>
      </c>
      <c r="N250" s="10">
        <v>164.035357</v>
      </c>
      <c r="O250" s="10">
        <v>18371.96</v>
      </c>
    </row>
    <row r="251" spans="11:15" x14ac:dyDescent="0.35">
      <c r="K251" s="7" t="s">
        <v>48</v>
      </c>
      <c r="L251" s="7" t="s">
        <v>72</v>
      </c>
      <c r="M251" s="7">
        <v>239</v>
      </c>
      <c r="N251" s="10">
        <v>34.216819999999998</v>
      </c>
      <c r="O251" s="10">
        <v>8177.82</v>
      </c>
    </row>
    <row r="252" spans="11:15" x14ac:dyDescent="0.35">
      <c r="K252" s="7" t="s">
        <v>48</v>
      </c>
      <c r="L252" s="7" t="s">
        <v>71</v>
      </c>
      <c r="M252" s="7">
        <v>207</v>
      </c>
      <c r="N252" s="10">
        <v>32.760337999999997</v>
      </c>
      <c r="O252" s="10">
        <v>6781.39</v>
      </c>
    </row>
    <row r="253" spans="11:15" x14ac:dyDescent="0.35">
      <c r="K253" s="7" t="s">
        <v>48</v>
      </c>
      <c r="L253" s="7" t="s">
        <v>74</v>
      </c>
      <c r="M253" s="7">
        <v>105</v>
      </c>
      <c r="N253" s="10">
        <v>33.560381</v>
      </c>
      <c r="O253" s="10">
        <v>3523.84</v>
      </c>
    </row>
    <row r="254" spans="11:15" x14ac:dyDescent="0.35">
      <c r="K254" s="7" t="s">
        <v>48</v>
      </c>
      <c r="L254" s="7" t="s">
        <v>73</v>
      </c>
      <c r="M254" s="7">
        <v>282</v>
      </c>
      <c r="N254" s="10">
        <v>9.9240069999999996</v>
      </c>
      <c r="O254" s="10">
        <v>2798.57</v>
      </c>
    </row>
    <row r="255" spans="11:15" x14ac:dyDescent="0.35">
      <c r="K255" s="7" t="s">
        <v>49</v>
      </c>
      <c r="L255" s="7" t="s">
        <v>69</v>
      </c>
      <c r="M255" s="7">
        <v>199</v>
      </c>
      <c r="N255" s="10">
        <v>540.52552800000001</v>
      </c>
      <c r="O255" s="10">
        <v>107564.58</v>
      </c>
    </row>
    <row r="256" spans="11:15" x14ac:dyDescent="0.35">
      <c r="K256" s="7" t="s">
        <v>49</v>
      </c>
      <c r="L256" s="7" t="s">
        <v>70</v>
      </c>
      <c r="M256" s="7">
        <v>96</v>
      </c>
      <c r="N256" s="10">
        <v>171.895625</v>
      </c>
      <c r="O256" s="10">
        <v>16501.98</v>
      </c>
    </row>
    <row r="257" spans="11:15" x14ac:dyDescent="0.35">
      <c r="K257" s="7" t="s">
        <v>49</v>
      </c>
      <c r="L257" s="7" t="s">
        <v>72</v>
      </c>
      <c r="M257" s="7">
        <v>164</v>
      </c>
      <c r="N257" s="10">
        <v>36.076889999999999</v>
      </c>
      <c r="O257" s="10">
        <v>5916.61</v>
      </c>
    </row>
    <row r="258" spans="11:15" x14ac:dyDescent="0.35">
      <c r="K258" s="7" t="s">
        <v>49</v>
      </c>
      <c r="L258" s="7" t="s">
        <v>71</v>
      </c>
      <c r="M258" s="7">
        <v>118</v>
      </c>
      <c r="N258" s="10">
        <v>34.713475000000003</v>
      </c>
      <c r="O258" s="10">
        <v>4096.1899999999996</v>
      </c>
    </row>
    <row r="259" spans="11:15" x14ac:dyDescent="0.35">
      <c r="K259" s="7" t="s">
        <v>49</v>
      </c>
      <c r="L259" s="7" t="s">
        <v>74</v>
      </c>
      <c r="M259" s="7">
        <v>66</v>
      </c>
      <c r="N259" s="10">
        <v>29.586061000000001</v>
      </c>
      <c r="O259" s="10">
        <v>1952.68</v>
      </c>
    </row>
    <row r="260" spans="11:15" x14ac:dyDescent="0.35">
      <c r="K260" s="7" t="s">
        <v>49</v>
      </c>
      <c r="L260" s="7" t="s">
        <v>73</v>
      </c>
      <c r="M260" s="7">
        <v>209</v>
      </c>
      <c r="N260" s="10">
        <v>9.1292340000000003</v>
      </c>
      <c r="O260" s="10">
        <v>1908.01</v>
      </c>
    </row>
    <row r="261" spans="11:15" x14ac:dyDescent="0.35">
      <c r="K261" s="7" t="s">
        <v>50</v>
      </c>
      <c r="L261" s="7" t="s">
        <v>69</v>
      </c>
      <c r="M261" s="7">
        <v>193</v>
      </c>
      <c r="N261" s="10">
        <v>528.83404099999996</v>
      </c>
      <c r="O261" s="10">
        <v>102064.97</v>
      </c>
    </row>
    <row r="262" spans="11:15" x14ac:dyDescent="0.35">
      <c r="K262" s="7" t="s">
        <v>50</v>
      </c>
      <c r="L262" s="7" t="s">
        <v>70</v>
      </c>
      <c r="M262" s="7">
        <v>88</v>
      </c>
      <c r="N262" s="10">
        <v>165.91761399999999</v>
      </c>
      <c r="O262" s="10">
        <v>14600.75</v>
      </c>
    </row>
    <row r="263" spans="11:15" x14ac:dyDescent="0.35">
      <c r="K263" s="7" t="s">
        <v>50</v>
      </c>
      <c r="L263" s="7" t="s">
        <v>71</v>
      </c>
      <c r="M263" s="7">
        <v>139</v>
      </c>
      <c r="N263" s="10">
        <v>33.947049999999997</v>
      </c>
      <c r="O263" s="10">
        <v>4718.6400000000003</v>
      </c>
    </row>
    <row r="264" spans="11:15" x14ac:dyDescent="0.35">
      <c r="K264" s="7" t="s">
        <v>50</v>
      </c>
      <c r="L264" s="7" t="s">
        <v>72</v>
      </c>
      <c r="M264" s="7">
        <v>149</v>
      </c>
      <c r="N264" s="10">
        <v>31.116107</v>
      </c>
      <c r="O264" s="10">
        <v>4636.3</v>
      </c>
    </row>
    <row r="265" spans="11:15" x14ac:dyDescent="0.35">
      <c r="K265" s="7" t="s">
        <v>50</v>
      </c>
      <c r="L265" s="7" t="s">
        <v>73</v>
      </c>
      <c r="M265" s="7">
        <v>189</v>
      </c>
      <c r="N265" s="10">
        <v>10.476190000000001</v>
      </c>
      <c r="O265" s="10">
        <v>1980</v>
      </c>
    </row>
    <row r="266" spans="11:15" x14ac:dyDescent="0.35">
      <c r="K266" s="7" t="s">
        <v>50</v>
      </c>
      <c r="L266" s="7" t="s">
        <v>74</v>
      </c>
      <c r="M266" s="7">
        <v>70</v>
      </c>
      <c r="N266" s="10">
        <v>27.655286</v>
      </c>
      <c r="O266" s="10">
        <v>1935.87</v>
      </c>
    </row>
    <row r="267" spans="11:15" x14ac:dyDescent="0.35">
      <c r="K267" s="7" t="s">
        <v>51</v>
      </c>
      <c r="L267" s="7" t="s">
        <v>69</v>
      </c>
      <c r="M267" s="7">
        <v>171</v>
      </c>
      <c r="N267" s="10">
        <v>455.08286500000003</v>
      </c>
      <c r="O267" s="10">
        <v>77819.17</v>
      </c>
    </row>
    <row r="268" spans="11:15" x14ac:dyDescent="0.35">
      <c r="K268" s="7" t="s">
        <v>51</v>
      </c>
      <c r="L268" s="7" t="s">
        <v>70</v>
      </c>
      <c r="M268" s="7">
        <v>94</v>
      </c>
      <c r="N268" s="10">
        <v>175.669681</v>
      </c>
      <c r="O268" s="10">
        <v>16512.95</v>
      </c>
    </row>
    <row r="269" spans="11:15" x14ac:dyDescent="0.35">
      <c r="K269" s="7" t="s">
        <v>51</v>
      </c>
      <c r="L269" s="7" t="s">
        <v>72</v>
      </c>
      <c r="M269" s="7">
        <v>160</v>
      </c>
      <c r="N269" s="10">
        <v>30.790313000000001</v>
      </c>
      <c r="O269" s="10">
        <v>4926.45</v>
      </c>
    </row>
    <row r="270" spans="11:15" x14ac:dyDescent="0.35">
      <c r="K270" s="7" t="s">
        <v>51</v>
      </c>
      <c r="L270" s="7" t="s">
        <v>71</v>
      </c>
      <c r="M270" s="7">
        <v>131</v>
      </c>
      <c r="N270" s="10">
        <v>33.232595000000003</v>
      </c>
      <c r="O270" s="10">
        <v>4353.47</v>
      </c>
    </row>
    <row r="271" spans="11:15" x14ac:dyDescent="0.35">
      <c r="K271" s="7" t="s">
        <v>51</v>
      </c>
      <c r="L271" s="7" t="s">
        <v>73</v>
      </c>
      <c r="M271" s="7">
        <v>175</v>
      </c>
      <c r="N271" s="10">
        <v>10.442171</v>
      </c>
      <c r="O271" s="10">
        <v>1827.38</v>
      </c>
    </row>
    <row r="272" spans="11:15" x14ac:dyDescent="0.35">
      <c r="K272" s="7" t="s">
        <v>51</v>
      </c>
      <c r="L272" s="7" t="s">
        <v>74</v>
      </c>
      <c r="M272" s="7">
        <v>51</v>
      </c>
      <c r="N272" s="10">
        <v>29.331568999999998</v>
      </c>
      <c r="O272" s="10">
        <v>1495.91</v>
      </c>
    </row>
    <row r="273" spans="11:15" x14ac:dyDescent="0.35">
      <c r="K273" s="7" t="s">
        <v>52</v>
      </c>
      <c r="L273" s="7" t="s">
        <v>69</v>
      </c>
      <c r="M273" s="7">
        <v>312</v>
      </c>
      <c r="N273" s="10">
        <v>463.068173</v>
      </c>
      <c r="O273" s="10">
        <v>144477.26999999999</v>
      </c>
    </row>
    <row r="274" spans="11:15" x14ac:dyDescent="0.35">
      <c r="K274" s="7" t="s">
        <v>52</v>
      </c>
      <c r="L274" s="7" t="s">
        <v>70</v>
      </c>
      <c r="M274" s="7">
        <v>139</v>
      </c>
      <c r="N274" s="10">
        <v>170.24402900000001</v>
      </c>
      <c r="O274" s="10">
        <v>23663.919999999998</v>
      </c>
    </row>
    <row r="275" spans="11:15" x14ac:dyDescent="0.35">
      <c r="K275" s="7" t="s">
        <v>52</v>
      </c>
      <c r="L275" s="7" t="s">
        <v>71</v>
      </c>
      <c r="M275" s="7">
        <v>204</v>
      </c>
      <c r="N275" s="10">
        <v>35.453921999999999</v>
      </c>
      <c r="O275" s="10">
        <v>7232.6</v>
      </c>
    </row>
    <row r="276" spans="11:15" x14ac:dyDescent="0.35">
      <c r="K276" s="7" t="s">
        <v>52</v>
      </c>
      <c r="L276" s="7" t="s">
        <v>72</v>
      </c>
      <c r="M276" s="7">
        <v>246</v>
      </c>
      <c r="N276" s="10">
        <v>29.302439</v>
      </c>
      <c r="O276" s="10">
        <v>7208.4</v>
      </c>
    </row>
    <row r="277" spans="11:15" x14ac:dyDescent="0.35">
      <c r="K277" s="7" t="s">
        <v>52</v>
      </c>
      <c r="L277" s="7" t="s">
        <v>74</v>
      </c>
      <c r="M277" s="7">
        <v>99</v>
      </c>
      <c r="N277" s="10">
        <v>30.765758000000002</v>
      </c>
      <c r="O277" s="10">
        <v>3045.81</v>
      </c>
    </row>
    <row r="278" spans="11:15" x14ac:dyDescent="0.35">
      <c r="K278" s="7" t="s">
        <v>52</v>
      </c>
      <c r="L278" s="7" t="s">
        <v>73</v>
      </c>
      <c r="M278" s="7">
        <v>251</v>
      </c>
      <c r="N278" s="10">
        <v>10.310598000000001</v>
      </c>
      <c r="O278" s="10">
        <v>2587.96</v>
      </c>
    </row>
    <row r="279" spans="11:15" x14ac:dyDescent="0.35">
      <c r="K279" s="7" t="s">
        <v>53</v>
      </c>
      <c r="L279" s="7" t="s">
        <v>69</v>
      </c>
      <c r="M279" s="7">
        <v>211</v>
      </c>
      <c r="N279" s="10">
        <v>492.86170600000003</v>
      </c>
      <c r="O279" s="10">
        <v>103993.82</v>
      </c>
    </row>
    <row r="280" spans="11:15" x14ac:dyDescent="0.35">
      <c r="K280" s="7" t="s">
        <v>53</v>
      </c>
      <c r="L280" s="7" t="s">
        <v>70</v>
      </c>
      <c r="M280" s="7">
        <v>96</v>
      </c>
      <c r="N280" s="10">
        <v>165.94958299999999</v>
      </c>
      <c r="O280" s="10">
        <v>15931.16</v>
      </c>
    </row>
    <row r="281" spans="11:15" x14ac:dyDescent="0.35">
      <c r="K281" s="7" t="s">
        <v>53</v>
      </c>
      <c r="L281" s="7" t="s">
        <v>72</v>
      </c>
      <c r="M281" s="7">
        <v>172</v>
      </c>
      <c r="N281" s="10">
        <v>31.892267</v>
      </c>
      <c r="O281" s="10">
        <v>5485.47</v>
      </c>
    </row>
    <row r="282" spans="11:15" x14ac:dyDescent="0.35">
      <c r="K282" s="7" t="s">
        <v>53</v>
      </c>
      <c r="L282" s="7" t="s">
        <v>71</v>
      </c>
      <c r="M282" s="7">
        <v>128</v>
      </c>
      <c r="N282" s="10">
        <v>31.618281</v>
      </c>
      <c r="O282" s="10">
        <v>4047.14</v>
      </c>
    </row>
    <row r="283" spans="11:15" x14ac:dyDescent="0.35">
      <c r="K283" s="7" t="s">
        <v>53</v>
      </c>
      <c r="L283" s="7" t="s">
        <v>74</v>
      </c>
      <c r="M283" s="7">
        <v>60</v>
      </c>
      <c r="N283" s="10">
        <v>31.091000000000001</v>
      </c>
      <c r="O283" s="10">
        <v>1865.46</v>
      </c>
    </row>
    <row r="284" spans="11:15" x14ac:dyDescent="0.35">
      <c r="K284" s="7" t="s">
        <v>53</v>
      </c>
      <c r="L284" s="7" t="s">
        <v>73</v>
      </c>
      <c r="M284" s="7">
        <v>174</v>
      </c>
      <c r="N284" s="10">
        <v>9.7689079999999997</v>
      </c>
      <c r="O284" s="10">
        <v>1699.79</v>
      </c>
    </row>
    <row r="285" spans="11:15" x14ac:dyDescent="0.35">
      <c r="K285" s="7" t="s">
        <v>54</v>
      </c>
      <c r="L285" s="7" t="s">
        <v>69</v>
      </c>
      <c r="M285" s="7">
        <v>192</v>
      </c>
      <c r="N285" s="10">
        <v>485.71411499999999</v>
      </c>
      <c r="O285" s="10">
        <v>93257.11</v>
      </c>
    </row>
    <row r="286" spans="11:15" x14ac:dyDescent="0.35">
      <c r="K286" s="7" t="s">
        <v>54</v>
      </c>
      <c r="L286" s="7" t="s">
        <v>70</v>
      </c>
      <c r="M286" s="7">
        <v>87</v>
      </c>
      <c r="N286" s="10">
        <v>174.25931</v>
      </c>
      <c r="O286" s="10">
        <v>15160.56</v>
      </c>
    </row>
    <row r="287" spans="11:15" x14ac:dyDescent="0.35">
      <c r="K287" s="7" t="s">
        <v>54</v>
      </c>
      <c r="L287" s="7" t="s">
        <v>72</v>
      </c>
      <c r="M287" s="7">
        <v>175</v>
      </c>
      <c r="N287" s="10">
        <v>33.740743000000002</v>
      </c>
      <c r="O287" s="10">
        <v>5904.63</v>
      </c>
    </row>
    <row r="288" spans="11:15" x14ac:dyDescent="0.35">
      <c r="K288" s="7" t="s">
        <v>54</v>
      </c>
      <c r="L288" s="7" t="s">
        <v>71</v>
      </c>
      <c r="M288" s="7">
        <v>137</v>
      </c>
      <c r="N288" s="10">
        <v>29.221533000000001</v>
      </c>
      <c r="O288" s="10">
        <v>4003.35</v>
      </c>
    </row>
    <row r="289" spans="11:15" x14ac:dyDescent="0.35">
      <c r="K289" s="7" t="s">
        <v>54</v>
      </c>
      <c r="L289" s="7" t="s">
        <v>74</v>
      </c>
      <c r="M289" s="7">
        <v>71</v>
      </c>
      <c r="N289" s="10">
        <v>32.047041999999998</v>
      </c>
      <c r="O289" s="10">
        <v>2275.34</v>
      </c>
    </row>
    <row r="290" spans="11:15" x14ac:dyDescent="0.35">
      <c r="K290" s="7" t="s">
        <v>54</v>
      </c>
      <c r="L290" s="7" t="s">
        <v>73</v>
      </c>
      <c r="M290" s="7">
        <v>178</v>
      </c>
      <c r="N290" s="10">
        <v>10.153257999999999</v>
      </c>
      <c r="O290" s="10">
        <v>1807.28</v>
      </c>
    </row>
  </sheetData>
  <mergeCells count="5">
    <mergeCell ref="K1:O1"/>
    <mergeCell ref="A11:E11"/>
    <mergeCell ref="A1:D1"/>
    <mergeCell ref="H1:I1"/>
    <mergeCell ref="A5:C5"/>
  </mergeCells>
  <pageMargins left="0.7" right="0.7" top="0.75" bottom="0.75" header="0.3" footer="0.3"/>
  <pageSetup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369A-48BA-4627-9FBE-ACE13D4AD3CA}">
  <dimension ref="A1:B50"/>
  <sheetViews>
    <sheetView workbookViewId="0">
      <selection activeCell="I35" sqref="I35"/>
    </sheetView>
  </sheetViews>
  <sheetFormatPr defaultRowHeight="14.5" x14ac:dyDescent="0.35"/>
  <cols>
    <col min="1" max="1" width="13.7265625" bestFit="1" customWidth="1"/>
    <col min="2" max="2" width="16.08984375" bestFit="1" customWidth="1"/>
  </cols>
  <sheetData>
    <row r="1" spans="1:2" x14ac:dyDescent="0.35">
      <c r="A1" s="5" t="s">
        <v>64</v>
      </c>
      <c r="B1" t="s">
        <v>63</v>
      </c>
    </row>
    <row r="2" spans="1:2" x14ac:dyDescent="0.35">
      <c r="A2" s="6" t="s">
        <v>7</v>
      </c>
      <c r="B2" s="4">
        <v>48143.95</v>
      </c>
    </row>
    <row r="3" spans="1:2" x14ac:dyDescent="0.35">
      <c r="A3" s="6" t="s">
        <v>8</v>
      </c>
      <c r="B3" s="4">
        <v>46257.35</v>
      </c>
    </row>
    <row r="4" spans="1:2" x14ac:dyDescent="0.35">
      <c r="A4" s="6" t="s">
        <v>9</v>
      </c>
      <c r="B4" s="4">
        <v>53541.25</v>
      </c>
    </row>
    <row r="5" spans="1:2" x14ac:dyDescent="0.35">
      <c r="A5" s="6" t="s">
        <v>10</v>
      </c>
      <c r="B5" s="4">
        <v>49505.25</v>
      </c>
    </row>
    <row r="6" spans="1:2" x14ac:dyDescent="0.35">
      <c r="A6" s="6" t="s">
        <v>11</v>
      </c>
      <c r="B6" s="4">
        <v>58326.64</v>
      </c>
    </row>
    <row r="7" spans="1:2" x14ac:dyDescent="0.35">
      <c r="A7" s="6" t="s">
        <v>12</v>
      </c>
      <c r="B7" s="4">
        <v>48683.24</v>
      </c>
    </row>
    <row r="8" spans="1:2" x14ac:dyDescent="0.35">
      <c r="A8" s="6" t="s">
        <v>13</v>
      </c>
      <c r="B8" s="4">
        <v>57545.77</v>
      </c>
    </row>
    <row r="9" spans="1:2" x14ac:dyDescent="0.35">
      <c r="A9" s="6" t="s">
        <v>14</v>
      </c>
      <c r="B9" s="4">
        <v>48656.98</v>
      </c>
    </row>
    <row r="10" spans="1:2" x14ac:dyDescent="0.35">
      <c r="A10" s="6" t="s">
        <v>15</v>
      </c>
      <c r="B10" s="4">
        <v>42839.1</v>
      </c>
    </row>
    <row r="11" spans="1:2" x14ac:dyDescent="0.35">
      <c r="A11" s="6" t="s">
        <v>16</v>
      </c>
      <c r="B11" s="4">
        <v>49508.42</v>
      </c>
    </row>
    <row r="12" spans="1:2" x14ac:dyDescent="0.35">
      <c r="A12" s="6" t="s">
        <v>17</v>
      </c>
      <c r="B12" s="4">
        <v>44519.86</v>
      </c>
    </row>
    <row r="13" spans="1:2" x14ac:dyDescent="0.35">
      <c r="A13" s="6" t="s">
        <v>18</v>
      </c>
      <c r="B13" s="4">
        <v>50885.58</v>
      </c>
    </row>
    <row r="14" spans="1:2" x14ac:dyDescent="0.35">
      <c r="A14" s="6" t="s">
        <v>19</v>
      </c>
      <c r="B14" s="4">
        <v>70589.710000000006</v>
      </c>
    </row>
    <row r="15" spans="1:2" x14ac:dyDescent="0.35">
      <c r="A15" s="6" t="s">
        <v>20</v>
      </c>
      <c r="B15" s="4">
        <v>74547.62</v>
      </c>
    </row>
    <row r="16" spans="1:2" x14ac:dyDescent="0.35">
      <c r="A16" s="6" t="s">
        <v>21</v>
      </c>
      <c r="B16" s="4">
        <v>71490.8</v>
      </c>
    </row>
    <row r="17" spans="1:2" x14ac:dyDescent="0.35">
      <c r="A17" s="6" t="s">
        <v>22</v>
      </c>
      <c r="B17" s="4">
        <v>71671.429999999993</v>
      </c>
    </row>
    <row r="18" spans="1:2" x14ac:dyDescent="0.35">
      <c r="A18" s="6" t="s">
        <v>23</v>
      </c>
      <c r="B18" s="4">
        <v>76942.62</v>
      </c>
    </row>
    <row r="19" spans="1:2" x14ac:dyDescent="0.35">
      <c r="A19" s="6" t="s">
        <v>24</v>
      </c>
      <c r="B19" s="4">
        <v>75958.75</v>
      </c>
    </row>
    <row r="20" spans="1:2" x14ac:dyDescent="0.35">
      <c r="A20" s="6" t="s">
        <v>25</v>
      </c>
      <c r="B20" s="4">
        <v>74438.539999999994</v>
      </c>
    </row>
    <row r="21" spans="1:2" x14ac:dyDescent="0.35">
      <c r="A21" s="6" t="s">
        <v>26</v>
      </c>
      <c r="B21" s="4">
        <v>71626.47</v>
      </c>
    </row>
    <row r="22" spans="1:2" x14ac:dyDescent="0.35">
      <c r="A22" s="6" t="s">
        <v>27</v>
      </c>
      <c r="B22" s="4">
        <v>86388.39</v>
      </c>
    </row>
    <row r="23" spans="1:2" x14ac:dyDescent="0.35">
      <c r="A23" s="6" t="s">
        <v>28</v>
      </c>
      <c r="B23" s="4">
        <v>76570.52</v>
      </c>
    </row>
    <row r="24" spans="1:2" x14ac:dyDescent="0.35">
      <c r="A24" s="6" t="s">
        <v>29</v>
      </c>
      <c r="B24" s="4">
        <v>81150.820000000007</v>
      </c>
    </row>
    <row r="25" spans="1:2" x14ac:dyDescent="0.35">
      <c r="A25" s="6" t="s">
        <v>30</v>
      </c>
      <c r="B25" s="4">
        <v>85799</v>
      </c>
    </row>
    <row r="26" spans="1:2" x14ac:dyDescent="0.35">
      <c r="A26" s="6" t="s">
        <v>31</v>
      </c>
      <c r="B26" s="4">
        <v>83362.33</v>
      </c>
    </row>
    <row r="27" spans="1:2" x14ac:dyDescent="0.35">
      <c r="A27" s="6" t="s">
        <v>32</v>
      </c>
      <c r="B27" s="4">
        <v>65035.27</v>
      </c>
    </row>
    <row r="28" spans="1:2" x14ac:dyDescent="0.35">
      <c r="A28" s="6" t="s">
        <v>33</v>
      </c>
      <c r="B28" s="4">
        <v>73851.009999999995</v>
      </c>
    </row>
    <row r="29" spans="1:2" x14ac:dyDescent="0.35">
      <c r="A29" s="6" t="s">
        <v>34</v>
      </c>
      <c r="B29" s="4">
        <v>74763.039999999994</v>
      </c>
    </row>
    <row r="30" spans="1:2" x14ac:dyDescent="0.35">
      <c r="A30" s="6" t="s">
        <v>35</v>
      </c>
      <c r="B30" s="4">
        <v>78325.77</v>
      </c>
    </row>
    <row r="31" spans="1:2" x14ac:dyDescent="0.35">
      <c r="A31" s="6" t="s">
        <v>36</v>
      </c>
      <c r="B31" s="4">
        <v>72071.520000000004</v>
      </c>
    </row>
    <row r="32" spans="1:2" x14ac:dyDescent="0.35">
      <c r="A32" s="6" t="s">
        <v>37</v>
      </c>
      <c r="B32" s="4">
        <v>71626.47</v>
      </c>
    </row>
    <row r="33" spans="1:2" x14ac:dyDescent="0.35">
      <c r="A33" s="6" t="s">
        <v>38</v>
      </c>
      <c r="B33" s="4">
        <v>90013.08</v>
      </c>
    </row>
    <row r="34" spans="1:2" x14ac:dyDescent="0.35">
      <c r="A34" s="6" t="s">
        <v>39</v>
      </c>
      <c r="B34" s="4">
        <v>72945.83</v>
      </c>
    </row>
    <row r="35" spans="1:2" x14ac:dyDescent="0.35">
      <c r="A35" s="6" t="s">
        <v>40</v>
      </c>
      <c r="B35" s="4">
        <v>83388.679999999993</v>
      </c>
    </row>
    <row r="36" spans="1:2" x14ac:dyDescent="0.35">
      <c r="A36" s="6" t="s">
        <v>41</v>
      </c>
      <c r="B36" s="4">
        <v>83561.14</v>
      </c>
    </row>
    <row r="37" spans="1:2" x14ac:dyDescent="0.35">
      <c r="A37" s="6" t="s">
        <v>42</v>
      </c>
      <c r="B37" s="4">
        <v>70589.710000000006</v>
      </c>
    </row>
    <row r="38" spans="1:2" x14ac:dyDescent="0.35">
      <c r="A38" s="6" t="s">
        <v>43</v>
      </c>
      <c r="B38" s="4">
        <v>118654.88</v>
      </c>
    </row>
    <row r="39" spans="1:2" x14ac:dyDescent="0.35">
      <c r="A39" s="6" t="s">
        <v>44</v>
      </c>
      <c r="B39" s="4">
        <v>105056.57</v>
      </c>
    </row>
    <row r="40" spans="1:2" x14ac:dyDescent="0.35">
      <c r="A40" s="6" t="s">
        <v>45</v>
      </c>
      <c r="B40" s="4">
        <v>108664.43</v>
      </c>
    </row>
    <row r="41" spans="1:2" x14ac:dyDescent="0.35">
      <c r="A41" s="6" t="s">
        <v>46</v>
      </c>
      <c r="B41" s="4">
        <v>117732.51</v>
      </c>
    </row>
    <row r="42" spans="1:2" x14ac:dyDescent="0.35">
      <c r="A42" s="6" t="s">
        <v>47</v>
      </c>
      <c r="B42" s="4">
        <v>125169.68</v>
      </c>
    </row>
    <row r="43" spans="1:2" x14ac:dyDescent="0.35">
      <c r="A43" s="6" t="s">
        <v>48</v>
      </c>
      <c r="B43" s="4">
        <v>101328.59</v>
      </c>
    </row>
    <row r="44" spans="1:2" x14ac:dyDescent="0.35">
      <c r="A44" s="6" t="s">
        <v>49</v>
      </c>
      <c r="B44" s="4">
        <v>137940.04999999999</v>
      </c>
    </row>
    <row r="45" spans="1:2" x14ac:dyDescent="0.35">
      <c r="A45" s="6" t="s">
        <v>50</v>
      </c>
      <c r="B45" s="4">
        <v>129936.53</v>
      </c>
    </row>
    <row r="46" spans="1:2" x14ac:dyDescent="0.35">
      <c r="A46" s="6" t="s">
        <v>51</v>
      </c>
      <c r="B46" s="4">
        <v>106935.33</v>
      </c>
    </row>
    <row r="47" spans="1:2" x14ac:dyDescent="0.35">
      <c r="A47" s="6" t="s">
        <v>52</v>
      </c>
      <c r="B47" s="4">
        <v>188215.96</v>
      </c>
    </row>
    <row r="48" spans="1:2" x14ac:dyDescent="0.35">
      <c r="A48" s="6" t="s">
        <v>53</v>
      </c>
      <c r="B48" s="4">
        <v>133022.84</v>
      </c>
    </row>
    <row r="49" spans="1:2" x14ac:dyDescent="0.35">
      <c r="A49" s="6" t="s">
        <v>54</v>
      </c>
      <c r="B49" s="4">
        <v>122408.27</v>
      </c>
    </row>
    <row r="50" spans="1:2" x14ac:dyDescent="0.35">
      <c r="A50" s="6" t="s">
        <v>62</v>
      </c>
      <c r="B50" s="4">
        <v>3930187.5499999993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ED81-BA3F-46EF-8E04-A51E8459FF80}">
  <dimension ref="A1:B5"/>
  <sheetViews>
    <sheetView workbookViewId="0">
      <selection activeCell="J30" sqref="J30"/>
    </sheetView>
  </sheetViews>
  <sheetFormatPr defaultRowHeight="14.5" x14ac:dyDescent="0.35"/>
  <cols>
    <col min="1" max="1" width="13.453125" bestFit="1" customWidth="1"/>
    <col min="2" max="2" width="13.36328125" bestFit="1" customWidth="1"/>
  </cols>
  <sheetData>
    <row r="1" spans="1:2" x14ac:dyDescent="0.35">
      <c r="A1" s="5" t="s">
        <v>0</v>
      </c>
      <c r="B1" t="s">
        <v>65</v>
      </c>
    </row>
    <row r="2" spans="1:2" x14ac:dyDescent="0.35">
      <c r="A2" s="6" t="s">
        <v>4</v>
      </c>
      <c r="B2" s="4">
        <v>3930187.55</v>
      </c>
    </row>
    <row r="3" spans="1:2" x14ac:dyDescent="0.35">
      <c r="A3" s="6" t="s">
        <v>57</v>
      </c>
      <c r="B3" s="4">
        <v>3417850.01</v>
      </c>
    </row>
    <row r="4" spans="1:2" x14ac:dyDescent="0.35">
      <c r="A4" s="6" t="s">
        <v>58</v>
      </c>
      <c r="B4" s="4">
        <v>648812.56000000006</v>
      </c>
    </row>
    <row r="5" spans="1:2" x14ac:dyDescent="0.35">
      <c r="A5" s="6" t="s">
        <v>62</v>
      </c>
      <c r="B5" s="4">
        <v>7996850.1199999992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0944-88B8-4643-A3DB-975E34933142}">
  <dimension ref="A1:C8"/>
  <sheetViews>
    <sheetView workbookViewId="0">
      <selection activeCell="F33" sqref="F33"/>
    </sheetView>
  </sheetViews>
  <sheetFormatPr defaultRowHeight="14.5" x14ac:dyDescent="0.35"/>
  <cols>
    <col min="1" max="1" width="23" bestFit="1" customWidth="1"/>
    <col min="2" max="2" width="13.36328125" bestFit="1" customWidth="1"/>
    <col min="3" max="3" width="16.7265625" bestFit="1" customWidth="1"/>
  </cols>
  <sheetData>
    <row r="1" spans="1:3" x14ac:dyDescent="0.35">
      <c r="A1" s="5" t="s">
        <v>66</v>
      </c>
      <c r="B1" t="s">
        <v>65</v>
      </c>
      <c r="C1" t="s">
        <v>90</v>
      </c>
    </row>
    <row r="2" spans="1:3" x14ac:dyDescent="0.35">
      <c r="A2" s="6" t="s">
        <v>69</v>
      </c>
      <c r="B2" s="4">
        <v>2764161.11</v>
      </c>
      <c r="C2">
        <v>5934</v>
      </c>
    </row>
    <row r="3" spans="1:3" x14ac:dyDescent="0.35">
      <c r="A3" s="6" t="s">
        <v>70</v>
      </c>
      <c r="B3" s="4">
        <v>706789.57000000007</v>
      </c>
      <c r="C3">
        <v>4053</v>
      </c>
    </row>
    <row r="4" spans="1:3" x14ac:dyDescent="0.35">
      <c r="A4" s="6" t="s">
        <v>72</v>
      </c>
      <c r="B4" s="4">
        <v>180626.02</v>
      </c>
      <c r="C4">
        <v>5539</v>
      </c>
    </row>
    <row r="5" spans="1:3" x14ac:dyDescent="0.35">
      <c r="A5" s="6" t="s">
        <v>71</v>
      </c>
      <c r="B5" s="4">
        <v>147371.61000000002</v>
      </c>
      <c r="C5">
        <v>4596</v>
      </c>
    </row>
    <row r="6" spans="1:3" x14ac:dyDescent="0.35">
      <c r="A6" s="6" t="s">
        <v>74</v>
      </c>
      <c r="B6" s="4">
        <v>70124.489999999991</v>
      </c>
      <c r="C6">
        <v>2366</v>
      </c>
    </row>
    <row r="7" spans="1:3" x14ac:dyDescent="0.35">
      <c r="A7" s="6" t="s">
        <v>73</v>
      </c>
      <c r="B7" s="4">
        <v>61114.75</v>
      </c>
      <c r="C7">
        <v>6128</v>
      </c>
    </row>
    <row r="8" spans="1:3" x14ac:dyDescent="0.35">
      <c r="A8" s="6" t="s">
        <v>62</v>
      </c>
      <c r="B8" s="4">
        <v>3930187.55</v>
      </c>
      <c r="C8">
        <v>28616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3246-A390-48A8-A7A9-A2D618FCE227}">
  <dimension ref="A1:B13"/>
  <sheetViews>
    <sheetView workbookViewId="0">
      <selection activeCell="I24" sqref="I24"/>
    </sheetView>
  </sheetViews>
  <sheetFormatPr defaultRowHeight="14.5" x14ac:dyDescent="0.35"/>
  <cols>
    <col min="1" max="1" width="14.1796875" bestFit="1" customWidth="1"/>
    <col min="2" max="2" width="13.36328125" bestFit="1" customWidth="1"/>
  </cols>
  <sheetData>
    <row r="1" spans="1:2" x14ac:dyDescent="0.35">
      <c r="A1" s="5" t="s">
        <v>95</v>
      </c>
      <c r="B1" t="s">
        <v>65</v>
      </c>
    </row>
    <row r="2" spans="1:2" x14ac:dyDescent="0.35">
      <c r="A2" s="6" t="s">
        <v>88</v>
      </c>
      <c r="B2" s="4">
        <v>259602.83</v>
      </c>
    </row>
    <row r="3" spans="1:2" x14ac:dyDescent="0.35">
      <c r="A3" s="6" t="s">
        <v>87</v>
      </c>
      <c r="B3" s="4">
        <v>273835.24</v>
      </c>
    </row>
    <row r="4" spans="1:2" x14ac:dyDescent="0.35">
      <c r="A4" s="6" t="s">
        <v>86</v>
      </c>
      <c r="B4" s="4">
        <v>297891.71000000002</v>
      </c>
    </row>
    <row r="5" spans="1:2" x14ac:dyDescent="0.35">
      <c r="A5" s="6" t="s">
        <v>85</v>
      </c>
      <c r="B5" s="4">
        <v>302270.07</v>
      </c>
    </row>
    <row r="6" spans="1:2" x14ac:dyDescent="0.35">
      <c r="A6" s="6" t="s">
        <v>84</v>
      </c>
      <c r="B6" s="4">
        <v>308979.01</v>
      </c>
    </row>
    <row r="7" spans="1:2" x14ac:dyDescent="0.35">
      <c r="A7" s="6" t="s">
        <v>83</v>
      </c>
      <c r="B7" s="4">
        <v>330848.14</v>
      </c>
    </row>
    <row r="8" spans="1:2" x14ac:dyDescent="0.35">
      <c r="A8" s="6" t="s">
        <v>82</v>
      </c>
      <c r="B8" s="4">
        <v>331667.08</v>
      </c>
    </row>
    <row r="9" spans="1:2" x14ac:dyDescent="0.35">
      <c r="A9" s="6" t="s">
        <v>81</v>
      </c>
      <c r="B9" s="4">
        <v>331956.13</v>
      </c>
    </row>
    <row r="10" spans="1:2" x14ac:dyDescent="0.35">
      <c r="A10" s="6" t="s">
        <v>80</v>
      </c>
      <c r="B10" s="4">
        <v>332620.43</v>
      </c>
    </row>
    <row r="11" spans="1:2" x14ac:dyDescent="0.35">
      <c r="A11" s="6" t="s">
        <v>79</v>
      </c>
      <c r="B11" s="4">
        <v>541670.66</v>
      </c>
    </row>
    <row r="12" spans="1:2" x14ac:dyDescent="0.35">
      <c r="A12" s="6" t="s">
        <v>78</v>
      </c>
      <c r="B12" s="4">
        <v>618846.25</v>
      </c>
    </row>
    <row r="13" spans="1:2" x14ac:dyDescent="0.35">
      <c r="A13" s="6" t="s">
        <v>62</v>
      </c>
      <c r="B13" s="4">
        <v>3930187.5500000007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Insights_and_Recommendation</vt:lpstr>
      <vt:lpstr>Executive_Summary</vt:lpstr>
      <vt:lpstr>Florida_Dataset</vt:lpstr>
      <vt:lpstr>Monthly_Revenue_Trend</vt:lpstr>
      <vt:lpstr>Revenue_by_Region</vt:lpstr>
      <vt:lpstr>Revenue_by_Category</vt:lpstr>
      <vt:lpstr>Store_Rank_by_Revenue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2026-04-27T19:07:48Z</dcterms:created>
  <dcterms:modified xsi:type="dcterms:W3CDTF">2026-04-29T18:33:40Z</dcterms:modified>
</cp:coreProperties>
</file>